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12-Day War Daily Data" sheetId="2" state="visible" r:id="rId4"/>
    <sheet name="Op Epic Fury 2026" sheetId="3" state="visible" r:id="rId5"/>
    <sheet name="Comparative Analysis" sheetId="4" state="visible" r:id="rId6"/>
    <sheet name="ML Study Guide" sheetId="5" state="visible" r:id="rId7"/>
    <sheet name="ML Feature Datase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<sst xmlns="http://schemas.openxmlformats.org/spreadsheetml/2006/main" count="542" uniqueCount="492">
  <si>
    <t xml:space="preserve">MIDDLE EAST CONFLICT — CASUALTY ANALYSIS MASTER DATASET</t>
  </si>
  <si>
    <t xml:space="preserve">12-Day War (Jun 13–24 2025)  |  US-Israel Op Epic Fury / Roaring Lion (Feb 28, 2026 – Ongoing)  |  Data verified Mar 2, 2026</t>
  </si>
  <si>
    <t xml:space="preserve">IRAN KILLED
12-Day War</t>
  </si>
  <si>
    <t xml:space="preserve">IRAN WOUNDED
12-Day War</t>
  </si>
  <si>
    <t xml:space="preserve">ISRAEL KILLED
12-Day War</t>
  </si>
  <si>
    <t xml:space="preserve">ISRAEL WIA
12-Day War</t>
  </si>
  <si>
    <t xml:space="preserve">IRAN KILLED
Epic Fury (Day 1–2)</t>
  </si>
  <si>
    <t xml:space="preserve">US KIA
Epic Fury</t>
  </si>
  <si>
    <t xml:space="preserve">US WIA
Epic Fury</t>
  </si>
  <si>
    <t xml:space="preserve">1,190</t>
  </si>
  <si>
    <t xml:space="preserve">4,475</t>
  </si>
  <si>
    <t xml:space="preserve">28</t>
  </si>
  <si>
    <t xml:space="preserve">3,491</t>
  </si>
  <si>
    <t xml:space="preserve">201+ civilians
+40 officials</t>
  </si>
  <si>
    <t xml:space="preserve">3</t>
  </si>
  <si>
    <t xml:space="preserve">5 serious</t>
  </si>
  <si>
    <t xml:space="preserve">CONFLICT TIMELINE &amp; KEY FACTS</t>
  </si>
  <si>
    <t xml:space="preserve">Conflict</t>
  </si>
  <si>
    <t xml:space="preserve">Period</t>
  </si>
  <si>
    <t xml:space="preserve">Duration</t>
  </si>
  <si>
    <t xml:space="preserve">Primary Actors</t>
  </si>
  <si>
    <t xml:space="preserve">US Involved?</t>
  </si>
  <si>
    <t xml:space="preserve">Ceasefire?</t>
  </si>
  <si>
    <t xml:space="preserve">Source</t>
  </si>
  <si>
    <t xml:space="preserve">2024 Iran–Israel Escalations</t>
  </si>
  <si>
    <t xml:space="preserve">Apr–Dec 2024</t>
  </si>
  <si>
    <t xml:space="preserve">~9 months</t>
  </si>
  <si>
    <t xml:space="preserve">Iran/Israel/Proxies</t>
  </si>
  <si>
    <t xml:space="preserve">Partial (intercepted)</t>
  </si>
  <si>
    <t xml:space="preserve">Effective Dec 2024</t>
  </si>
  <si>
    <t xml:space="preserve">Wikipedia / ACLED</t>
  </si>
  <si>
    <t xml:space="preserve">Twelve-Day War</t>
  </si>
  <si>
    <t xml:space="preserve">Jun 13–24, 2025</t>
  </si>
  <si>
    <t xml:space="preserve">12 days</t>
  </si>
  <si>
    <t xml:space="preserve">Israel vs Iran</t>
  </si>
  <si>
    <t xml:space="preserve">Day 10 only (Jun 22)</t>
  </si>
  <si>
    <t xml:space="preserve">Jun 24, 2025</t>
  </si>
  <si>
    <t xml:space="preserve">HRANA / Times of Israel</t>
  </si>
  <si>
    <t xml:space="preserve">Operation Epic Fury / Roaring Lion</t>
  </si>
  <si>
    <t xml:space="preserve">Feb 28, 2026–ongoing</t>
  </si>
  <si>
    <t xml:space="preserve">Day 3+ (as of Mar 2)</t>
  </si>
  <si>
    <t xml:space="preserve">USA + Israel vs Iran</t>
  </si>
  <si>
    <t xml:space="preserve">YES — Co-lead from Day 1</t>
  </si>
  <si>
    <t xml:space="preserve">None yet</t>
  </si>
  <si>
    <t xml:space="preserve">CENTCOM / Al Jazeera</t>
  </si>
  <si>
    <t xml:space="preserve">SOURCES (VERIFIED): HRANA (Human Rights Activists in Iran) | Times of Israel | Statista | ACLED | Wikipedia | CENTCOM | CBS News | NBC News | Al Jazeera | USNI News | PBS | NPR | Air &amp; Space Forces Magazine</t>
  </si>
  <si>
    <t xml:space="preserve">TWELVE-DAY WAR (Jun 13–24, 2025) — VERIFIED DAILY CASUALTY DATA</t>
  </si>
  <si>
    <t xml:space="preserve">Iran casualties: Source = HRANA (final report Jun 28, 2025): 1,190 killed / 4,475 wounded  |  Israel: Statista/Haaretz: 28 killed / 3,491 wounded</t>
  </si>
  <si>
    <t xml:space="preserve">Day</t>
  </si>
  <si>
    <t xml:space="preserve">Date</t>
  </si>
  <si>
    <t xml:space="preserve">Iran Killed</t>
  </si>
  <si>
    <t xml:space="preserve">Iran Wounded</t>
  </si>
  <si>
    <t xml:space="preserve">Iran Cumul. Killed</t>
  </si>
  <si>
    <t xml:space="preserve">Iran Cumul. Wounded</t>
  </si>
  <si>
    <t xml:space="preserve">Israel Killed</t>
  </si>
  <si>
    <t xml:space="preserve">Israel Wounded</t>
  </si>
  <si>
    <t xml:space="preserve">Israel Cumul. Killed</t>
  </si>
  <si>
    <t xml:space="preserve">Interception Rate (Iran→IL)</t>
  </si>
  <si>
    <t xml:space="preserve">Key Verified Events</t>
  </si>
  <si>
    <t xml:space="preserve">Jun 13</t>
  </si>
  <si>
    <t xml:space="preserve">Israel 5+ waves, 200+ jets, 100+ targets. 30+ IRGC commanders killed Day 1 incl. Chief of Staff Bagheri. East Azerbaijan: 31 killed (30 soldiers). IDF: air superiority within hours.</t>
  </si>
  <si>
    <t xml:space="preserve">Jun 14</t>
  </si>
  <si>
    <t xml:space="preserve">Khorramabad &amp; Asadabad struck. 1st gas field targeted. 1 Israeli killed in Beersheba missile strike.</t>
  </si>
  <si>
    <t xml:space="preserve">Jun 15</t>
  </si>
  <si>
    <t xml:space="preserve">Tajrish (Tehran) civilian district hit. Haifa cluster missiles. Statista: highest single day — 10 Israeli KIA, 649 wounded. 14+ nuclear scientists confirmed killed.</t>
  </si>
  <si>
    <t xml:space="preserve">Jun 16</t>
  </si>
  <si>
    <t xml:space="preserve">Iranian ballistic missiles on Haifa &amp; Tel Aviv. CNN: cumulative 24 Israeli killed / 592 wounded. IRGC Aerospace cmd. Hajizadeh killed.</t>
  </si>
  <si>
    <t xml:space="preserve">Jun 17</t>
  </si>
  <si>
    <t xml:space="preserve">IRGC intelligence chief Kazemi &amp; deputy killed. IDF: 70 air defense batteries destroyed in Iran.</t>
  </si>
  <si>
    <t xml:space="preserve">Jun 18</t>
  </si>
  <si>
    <t xml:space="preserve">Iranian missiles over Tel Aviv; Walla: 3 killed, 172 injured this day. IDF: 21,000+ alerts issued total.</t>
  </si>
  <si>
    <t xml:space="preserve">Jun 19</t>
  </si>
  <si>
    <t xml:space="preserve">End-of-Week-1 HRANA tally: 2,694 casualties (killed+wounded). Israel eyes regime change (The New Arab).</t>
  </si>
  <si>
    <t xml:space="preserve">Jun 20</t>
  </si>
  <si>
    <t xml:space="preserve">Energy facilities &amp; hospitals hit. Govt admits '54 women and children' killed. Israel MoH: 2,517 injured cumulative.</t>
  </si>
  <si>
    <t xml:space="preserve">Jun 21</t>
  </si>
  <si>
    <t xml:space="preserve">IDF releases footage of Isfahan nuclear facility aftermath. Quds Force intel chief killed.</t>
  </si>
  <si>
    <t xml:space="preserve">Jun 22</t>
  </si>
  <si>
    <t xml:space="preserve">US bombs Natanz, Isfahan, Fordow with bunker-busters. Total casualties reach 4,400. Iran fires missiles at Al-Udeid (Qatar). Red Crescent: 3 aid workers killed.</t>
  </si>
  <si>
    <t xml:space="preserve">Jun 23</t>
  </si>
  <si>
    <t xml:space="preserve">HRANA: 4,432 total. Evin Prison struck: 2 killed incl. physician. Najafabad ambulance targeted. 5-yr-old killed in Asadabad.</t>
  </si>
  <si>
    <t xml:space="preserve">Jun 24</t>
  </si>
  <si>
    <t xml:space="preserve">Final drone waves: East Tehran, Ahvaz, Astaneh. Ceasefire brokered by US. 1 drone hit Beit She'an home (no casualties).</t>
  </si>
  <si>
    <t xml:space="preserve">VERIFIED TOTALS</t>
  </si>
  <si>
    <t xml:space="preserve">99% drones intercepted per IDF</t>
  </si>
  <si>
    <t xml:space="preserve">NOTE — DATA DISCREPANCY: Iranian Health Ministry reported 610 killed; HRANA (independent) 1,190 killed. Al Jazeera cited 610 (Health Ministry); HRANA methodology includes military + civilian + unidentified. This dataset uses HRANA figures (1,190 / 4,475) as they are more comprehensive. Israeli data: Haaretz/Statista = 28 killed / 3,491 hospitalized (INSS methodology). Statista updated figures show 3,491 injuries vs Times of Israel's 3,238 — difference due to later updates.</t>
  </si>
  <si>
    <t xml:space="preserve">OPERATION EPIC FURY / ROARING LION — VERIFIED DATA (as of Mar 2, 2026, Day 3)</t>
  </si>
  <si>
    <t xml:space="preserve">Started Feb 28, 2026 01:15 local time  |  1,000+ targets hit Day 1  |  ACTIVE — data preliminary &amp; updating</t>
  </si>
  <si>
    <t xml:space="preserve">IRAN — VERIFIED CASUALTIES (Sources: Iranian Red Crescent, State Media, Al Jazeera, NBC News)</t>
  </si>
  <si>
    <t xml:space="preserve">Category</t>
  </si>
  <si>
    <t xml:space="preserve">Confirmed Count</t>
  </si>
  <si>
    <t xml:space="preserve">Confidence</t>
  </si>
  <si>
    <t xml:space="preserve">Date of Report</t>
  </si>
  <si>
    <t xml:space="preserve">Notes</t>
  </si>
  <si>
    <t xml:space="preserve">Civilians Killed (Red Crescent)</t>
  </si>
  <si>
    <t xml:space="preserve">Official preliminary</t>
  </si>
  <si>
    <t xml:space="preserve">Feb 28 (Day 1)</t>
  </si>
  <si>
    <t xml:space="preserve">Iranian Red Crescent via Wikipedia</t>
  </si>
  <si>
    <t xml:space="preserve">Red Crescent: 201 killed, 747 wounded as of 17:30 CET Day 1</t>
  </si>
  <si>
    <t xml:space="preserve">Civilians Wounded (Red Crescent)</t>
  </si>
  <si>
    <t xml:space="preserve">Ongoing — figures still rising</t>
  </si>
  <si>
    <t xml:space="preserve">Minab Girls School Killed</t>
  </si>
  <si>
    <t xml:space="preserve">148–165</t>
  </si>
  <si>
    <t xml:space="preserve">Multiple sources</t>
  </si>
  <si>
    <t xml:space="preserve">Al Jazeera / Nour News / NBC / Fars</t>
  </si>
  <si>
    <t xml:space="preserve">Shajareh Tayyebeh school, Minab, Hormozgan. 264 students enrolled. Governor said 165 recovered.</t>
  </si>
  <si>
    <t xml:space="preserve">Minab School Wounded</t>
  </si>
  <si>
    <t xml:space="preserve">~100</t>
  </si>
  <si>
    <t xml:space="preserve">Preliminary</t>
  </si>
  <si>
    <t xml:space="preserve">Al Jazeera</t>
  </si>
  <si>
    <t xml:space="preserve">~100 wounded; search operations ended overnight Feb 28–Mar 1</t>
  </si>
  <si>
    <t xml:space="preserve">Senior Officials/Military Killed</t>
  </si>
  <si>
    <t xml:space="preserve">40+</t>
  </si>
  <si>
    <t xml:space="preserve">Confirmed</t>
  </si>
  <si>
    <t xml:space="preserve">Mar 1 (Day 2)</t>
  </si>
  <si>
    <t xml:space="preserve">CBS/IDF/Wikipedia</t>
  </si>
  <si>
    <t xml:space="preserve">CBS: 40 officials; IDF: incl. Chief of Staff Mousavi, multiple IRGC commanders</t>
  </si>
  <si>
    <t xml:space="preserve">Supreme Leader Khamenei</t>
  </si>
  <si>
    <t xml:space="preserve">KILLED</t>
  </si>
  <si>
    <t xml:space="preserve">Feb 28 → confirmed Mar 1</t>
  </si>
  <si>
    <t xml:space="preserve">Iranian state media / Trump</t>
  </si>
  <si>
    <t xml:space="preserve">IDF precision strike on leadership compound in Tehran. Confirmed by Iranian state TV Mar 1.</t>
  </si>
  <si>
    <t xml:space="preserve">Khamenei family members killed</t>
  </si>
  <si>
    <t xml:space="preserve">Daughter, son-in-law, grandchild, daughter-in-law</t>
  </si>
  <si>
    <t xml:space="preserve">Reported</t>
  </si>
  <si>
    <t xml:space="preserve">Feb 28</t>
  </si>
  <si>
    <t xml:space="preserve">Fars News (IRGC-linked)</t>
  </si>
  <si>
    <t xml:space="preserve">Semi-official; NBC/others could not independently verify all family members</t>
  </si>
  <si>
    <t xml:space="preserve">Iranian Naval Vessel Sunk</t>
  </si>
  <si>
    <t xml:space="preserve">1 Jamaran-class corvette</t>
  </si>
  <si>
    <t xml:space="preserve">Mar 1</t>
  </si>
  <si>
    <t xml:space="preserve">CENTCOM</t>
  </si>
  <si>
    <t xml:space="preserve">Struck by US forces, sinking at pier on Gulf of Oman</t>
  </si>
  <si>
    <t xml:space="preserve">Iranian Ships Destroyed</t>
  </si>
  <si>
    <t xml:space="preserve">9 ships total</t>
  </si>
  <si>
    <t xml:space="preserve">Trump / CENTCOM</t>
  </si>
  <si>
    <t xml:space="preserve">Trump Truth Social / CENTCOM</t>
  </si>
  <si>
    <t xml:space="preserve">Trump: 'destroyed nine Iranian naval ships, some relatively large'</t>
  </si>
  <si>
    <t xml:space="preserve">US / COALITION — VERIFIED CASUALTIES BY COUNTRY</t>
  </si>
  <si>
    <t xml:space="preserve">Country</t>
  </si>
  <si>
    <t xml:space="preserve">KIA</t>
  </si>
  <si>
    <t xml:space="preserve">WIA Serious</t>
  </si>
  <si>
    <t xml:space="preserve">WIA Minor</t>
  </si>
  <si>
    <t xml:space="preserve">Location</t>
  </si>
  <si>
    <t xml:space="preserve">Event</t>
  </si>
  <si>
    <t xml:space="preserve">USA</t>
  </si>
  <si>
    <t xml:space="preserve">5</t>
  </si>
  <si>
    <t xml:space="preserve">Several (shrapnel/concussion)</t>
  </si>
  <si>
    <t xml:space="preserve">Camp Buehring, Kuwait</t>
  </si>
  <si>
    <t xml:space="preserve">Mar 1, 2026</t>
  </si>
  <si>
    <t xml:space="preserve">Iranian retaliation on Ali Al Salem AB / Kuwait</t>
  </si>
  <si>
    <t xml:space="preserve">CENTCOM / CBS / AP</t>
  </si>
  <si>
    <t xml:space="preserve">Israel (civilians)</t>
  </si>
  <si>
    <t xml:space="preserve">1 woman (Tel Aviv)</t>
  </si>
  <si>
    <t xml:space="preserve">20+ incl. 1 serious</t>
  </si>
  <si>
    <t xml:space="preserve">89 indirect</t>
  </si>
  <si>
    <t xml:space="preserve">Tel Aviv / Beit Shemesh</t>
  </si>
  <si>
    <t xml:space="preserve">Feb 28–Mar 1</t>
  </si>
  <si>
    <t xml:space="preserve">Iranian missile barrage on Beit Shemesh: 6–8 killed Mar 1</t>
  </si>
  <si>
    <t xml:space="preserve">MDA / CBS / Hatzalah</t>
  </si>
  <si>
    <t xml:space="preserve">Qatar</t>
  </si>
  <si>
    <t xml:space="preserve">0</t>
  </si>
  <si>
    <t xml:space="preserve">16</t>
  </si>
  <si>
    <t xml:space="preserve">Al-Udeid Air Base</t>
  </si>
  <si>
    <t xml:space="preserve">Iranian missiles hit Qatar's Al-Udeid base</t>
  </si>
  <si>
    <t xml:space="preserve">Qatar MoI / USNI</t>
  </si>
  <si>
    <t xml:space="preserve">Bahrain</t>
  </si>
  <si>
    <t xml:space="preserve">1 foreigner killed</t>
  </si>
  <si>
    <t xml:space="preserve">2 injured</t>
  </si>
  <si>
    <t xml:space="preserve">Salman Industrial City</t>
  </si>
  <si>
    <t xml:space="preserve">Fire from intercepted-missile debris</t>
  </si>
  <si>
    <t xml:space="preserve">Bahrain MoI</t>
  </si>
  <si>
    <t xml:space="preserve">UAE</t>
  </si>
  <si>
    <t xml:space="preserve">0 confirmed mil.</t>
  </si>
  <si>
    <t xml:space="preserve">~58</t>
  </si>
  <si>
    <t xml:space="preserve">Dubai / Abu Dhabi area</t>
  </si>
  <si>
    <t xml:space="preserve">Macron: UAE 'most affected'. Attacks on civilian buildings</t>
  </si>
  <si>
    <t xml:space="preserve">UAE officials / CBS</t>
  </si>
  <si>
    <t xml:space="preserve">Iraq (Erbil)</t>
  </si>
  <si>
    <t xml:space="preserve">TBD</t>
  </si>
  <si>
    <t xml:space="preserve">near Erbil Int'l Airport</t>
  </si>
  <si>
    <t xml:space="preserve">US base near Erbil hit in Iranian retaliation</t>
  </si>
  <si>
    <t xml:space="preserve">NewsNation</t>
  </si>
  <si>
    <t xml:space="preserve">Jordan</t>
  </si>
  <si>
    <t xml:space="preserve">Muwaffaq Salti AB</t>
  </si>
  <si>
    <t xml:space="preserve">Muwaffaq Al Salti Air Base hit by projectiles</t>
  </si>
  <si>
    <t xml:space="preserve">USNI / Air &amp; Space Mag</t>
  </si>
  <si>
    <t xml:space="preserve">Saudi Arabia</t>
  </si>
  <si>
    <t xml:space="preserve">Riyadh area</t>
  </si>
  <si>
    <t xml:space="preserve">Iran targeted Saudi capital; Crown Prince vowed mil. response</t>
  </si>
  <si>
    <t xml:space="preserve">CNN</t>
  </si>
  <si>
    <t xml:space="preserve">Maritime</t>
  </si>
  <si>
    <t xml:space="preserve">1 crew killed</t>
  </si>
  <si>
    <t xml:space="preserve">4 injured</t>
  </si>
  <si>
    <t xml:space="preserve">Gulf of Oman</t>
  </si>
  <si>
    <t xml:space="preserve">MT MKD VYOM crew member killed; 3 additional tankers attacked</t>
  </si>
  <si>
    <t xml:space="preserve">Reuters / JMIC</t>
  </si>
  <si>
    <t xml:space="preserve">MILITARY ASSETS &amp; SCALE OF OPERATION (VERIFIED)</t>
  </si>
  <si>
    <t xml:space="preserve">Asset / Metric</t>
  </si>
  <si>
    <t xml:space="preserve">Detail</t>
  </si>
  <si>
    <t xml:space="preserve">Start time of Op Epic Fury</t>
  </si>
  <si>
    <t xml:space="preserve">Feb 28, 2026 at 1:15 AM local time</t>
  </si>
  <si>
    <t xml:space="preserve">CENTCOM fact sheet</t>
  </si>
  <si>
    <t xml:space="preserve">Total targets hit Day 1</t>
  </si>
  <si>
    <t xml:space="preserve">1,000+ targets</t>
  </si>
  <si>
    <t xml:space="preserve">CENTCOM / NPR / Air &amp; Space Forces Mag</t>
  </si>
  <si>
    <t xml:space="preserve">US aircraft used</t>
  </si>
  <si>
    <t xml:space="preserve">B-2 Spirit stealth bombers (2,000-lb bombs), F-35s, F-22 Raptors, F/A-18 E/F, F-16s, A-10s, EA-18G Growlers, MQ-9 Reapers, HIMARS, THAAD, PAC-3, LUCAS drones, C-17, C-130, P-8A, RC-135, refueling tankers</t>
  </si>
  <si>
    <t xml:space="preserve">CENTCOM fact sheet / USNI</t>
  </si>
  <si>
    <t xml:space="preserve">US carriers deployed</t>
  </si>
  <si>
    <t xml:space="preserve">USS Abraham Lincoln (North Arabian Sea) + USS Gerald R. Ford + 7+ destroyers</t>
  </si>
  <si>
    <t xml:space="preserve">CENTCOM / PBS</t>
  </si>
  <si>
    <t xml:space="preserve">Weapon novel first use</t>
  </si>
  <si>
    <t xml:space="preserve">LUCAS autonomous kamikaze drone (reverse-engineered Shahed-136)</t>
  </si>
  <si>
    <t xml:space="preserve">CENTCOM / USNI</t>
  </si>
  <si>
    <t xml:space="preserve">US troops in region (pre-conflict)</t>
  </si>
  <si>
    <t xml:space="preserve">40,000–50,000</t>
  </si>
  <si>
    <t xml:space="preserve">CFR / Al Jazeera</t>
  </si>
  <si>
    <t xml:space="preserve">Israeli Operation name</t>
  </si>
  <si>
    <t xml:space="preserve">Roaring Lion</t>
  </si>
  <si>
    <t xml:space="preserve">IDF</t>
  </si>
  <si>
    <t xml:space="preserve">US Operation name</t>
  </si>
  <si>
    <t xml:space="preserve">Epic Fury</t>
  </si>
  <si>
    <t xml:space="preserve">CENTCOM / Def. Sec. Hegseth</t>
  </si>
  <si>
    <t xml:space="preserve">Countries Iran struck in retaliation</t>
  </si>
  <si>
    <t xml:space="preserve">7: Bahrain, Iraq, Israel, Jordan, Kuwait, Saudi Arabia, UAE</t>
  </si>
  <si>
    <t xml:space="preserve">CENTCOM / NBC / Al Jazeera</t>
  </si>
  <si>
    <t xml:space="preserve">US bases attacked</t>
  </si>
  <si>
    <t xml:space="preserve">NSA Bahrain (5th Fleet HQ), Al-Udeid (Qatar), Ali Al Salem (Kuwait), Al Dhafra (UAE), Muwaffaq Salti (Jordan), Erbil (Iraq)</t>
  </si>
  <si>
    <t xml:space="preserve">USNI / Air &amp; Space Forces Mag</t>
  </si>
  <si>
    <t xml:space="preserve">Strait of Hormuz</t>
  </si>
  <si>
    <t xml:space="preserve">Open (Iran claimed closure; maritime experts say open but traffic stalled)</t>
  </si>
  <si>
    <t xml:space="preserve">USNI / Sal Mercogliano</t>
  </si>
  <si>
    <t xml:space="preserve">JMIC Risk Level Hormuz</t>
  </si>
  <si>
    <t xml:space="preserve">CRITICAL — attack 'almost certain'</t>
  </si>
  <si>
    <t xml:space="preserve">Joint Maritime Info Center</t>
  </si>
  <si>
    <t xml:space="preserve">Khamenei assassination</t>
  </si>
  <si>
    <t xml:space="preserve">Killed Feb 28; confirmed Iranian state media Mar 1. 40 days mourning declared.</t>
  </si>
  <si>
    <t xml:space="preserve">Iranian state TV / Trump</t>
  </si>
  <si>
    <t xml:space="preserve">New Iranian leadership</t>
  </si>
  <si>
    <t xml:space="preserve">Leadership council formed pending Assembly of Experts vote (88 members)</t>
  </si>
  <si>
    <t xml:space="preserve">Wikipedia / CBS</t>
  </si>
  <si>
    <t xml:space="preserve">Trump timetable</t>
  </si>
  <si>
    <t xml:space="preserve">'Four weeks or less' (Daily Mail interview)</t>
  </si>
  <si>
    <t xml:space="preserve">CBS News / NPR</t>
  </si>
  <si>
    <t xml:space="preserve">Operation status as of Mar 2</t>
  </si>
  <si>
    <t xml:space="preserve">ACTIVE — Netanyahu: 'intensify strikes in coming days'</t>
  </si>
  <si>
    <t xml:space="preserve">CBS / NewsNation</t>
  </si>
  <si>
    <t xml:space="preserve">COMPARATIVE ANALYSIS — 12-Day War (2025) vs Operation Epic Fury (2026)</t>
  </si>
  <si>
    <t xml:space="preserve">METRIC</t>
  </si>
  <si>
    <t xml:space="preserve">12-DAY WAR (Jun 2025)</t>
  </si>
  <si>
    <t xml:space="preserve">OP EPIC FURY (Feb 28, 2026+)</t>
  </si>
  <si>
    <t xml:space="preserve">Change</t>
  </si>
  <si>
    <t xml:space="preserve">SOURCE</t>
  </si>
  <si>
    <t xml:space="preserve">Operation Start</t>
  </si>
  <si>
    <t xml:space="preserve">Jun 13, 2025</t>
  </si>
  <si>
    <t xml:space="preserve">Feb 28, 2026</t>
  </si>
  <si>
    <t xml:space="preserve">8 months later</t>
  </si>
  <si>
    <t xml:space="preserve">Wikipedia</t>
  </si>
  <si>
    <t xml:space="preserve">Duration at snapshot</t>
  </si>
  <si>
    <t xml:space="preserve">12 days (complete)</t>
  </si>
  <si>
    <t xml:space="preserve">Day 3 (as of Mar 2, 2026) — ongoing</t>
  </si>
  <si>
    <t xml:space="preserve">Ongoing</t>
  </si>
  <si>
    <t xml:space="preserve">Various</t>
  </si>
  <si>
    <t xml:space="preserve">US Involvement</t>
  </si>
  <si>
    <t xml:space="preserve">Day 10 only (Jun 22) — 3 nuclear sites</t>
  </si>
  <si>
    <t xml:space="preserve">Co-lead from Day 1, 1,000+ targets</t>
  </si>
  <si>
    <t xml:space="preserve">MAJOR ESCALATION</t>
  </si>
  <si>
    <t xml:space="preserve">CENTCOM/Wikipedia</t>
  </si>
  <si>
    <t xml:space="preserve">Initiator</t>
  </si>
  <si>
    <t xml:space="preserve">Israel unilateral first strike</t>
  </si>
  <si>
    <t xml:space="preserve">Joint USA + Israel strike</t>
  </si>
  <si>
    <t xml:space="preserve">More US weight</t>
  </si>
  <si>
    <t xml:space="preserve">Iran Killed — Confirmed</t>
  </si>
  <si>
    <t xml:space="preserve">1,190 (HRANA) / 610 (Health Ministry)</t>
  </si>
  <si>
    <t xml:space="preserve">201+ (Red Crescent, Day 1 only, rising)</t>
  </si>
  <si>
    <t xml:space="preserve">HRANA final vs partial Day-1</t>
  </si>
  <si>
    <t xml:space="preserve">HRANA / Red Crescent</t>
  </si>
  <si>
    <t xml:space="preserve">4,475 (HRANA)</t>
  </si>
  <si>
    <t xml:space="preserve">747+ (Red Crescent, Day 1 only)</t>
  </si>
  <si>
    <t xml:space="preserve">Partial vs final</t>
  </si>
  <si>
    <t xml:space="preserve">Iran Civilian Killed</t>
  </si>
  <si>
    <t xml:space="preserve">436 civilians (HRANA)</t>
  </si>
  <si>
    <t xml:space="preserve">165+ (Minab school alone, Day 1)</t>
  </si>
  <si>
    <t xml:space="preserve">Already comparable pace</t>
  </si>
  <si>
    <t xml:space="preserve">HRANA / Al Jazeera</t>
  </si>
  <si>
    <t xml:space="preserve">Children Killed (Iran)</t>
  </si>
  <si>
    <t xml:space="preserve">65 children (HRANA)</t>
  </si>
  <si>
    <t xml:space="preserve">Minab school: mostly girls aged 6-12</t>
  </si>
  <si>
    <t xml:space="preserve">Heavier civilian toll Day 1</t>
  </si>
  <si>
    <t xml:space="preserve">HRANA / NBC</t>
  </si>
  <si>
    <t xml:space="preserve">Iran Senior Cmdr Killed</t>
  </si>
  <si>
    <t xml:space="preserve">30+ Day 1; 6 named senr. cmdr. (IDF)</t>
  </si>
  <si>
    <t xml:space="preserve">40+ officials incl. Khamenei, Mousavi</t>
  </si>
  <si>
    <t xml:space="preserve">Iran leadership destroyed</t>
  </si>
  <si>
    <t xml:space="preserve">IDF / CBS</t>
  </si>
  <si>
    <t xml:space="preserve">Iran Nuclear Scientists Killed</t>
  </si>
  <si>
    <t xml:space="preserve">15+ (Israel claimed 9 named)</t>
  </si>
  <si>
    <t xml:space="preserve">Not yet reported</t>
  </si>
  <si>
    <t xml:space="preserve">Times of Israel</t>
  </si>
  <si>
    <t xml:space="preserve">Iran Supreme Leader</t>
  </si>
  <si>
    <t xml:space="preserve">Survived (Khamenei)</t>
  </si>
  <si>
    <t xml:space="preserve">KILLED (Khamenei, Feb 28)</t>
  </si>
  <si>
    <t xml:space="preserve">Unprecedented</t>
  </si>
  <si>
    <t xml:space="preserve">Iranian state media</t>
  </si>
  <si>
    <t xml:space="preserve">28 (Haaretz / Statista)</t>
  </si>
  <si>
    <t xml:space="preserve">8 (Beit Shemesh, Mar 1) + 1 Tel Aviv</t>
  </si>
  <si>
    <t xml:space="preserve">Still accumulating</t>
  </si>
  <si>
    <t xml:space="preserve">MDA / Hatzalah</t>
  </si>
  <si>
    <t xml:space="preserve">3,491 (Statista) / 3,238 (MDA)</t>
  </si>
  <si>
    <t xml:space="preserve">20+ (Day 1–2)</t>
  </si>
  <si>
    <t xml:space="preserve">Partial so far</t>
  </si>
  <si>
    <t xml:space="preserve">Statista / MDA</t>
  </si>
  <si>
    <t xml:space="preserve">US KIA</t>
  </si>
  <si>
    <t xml:space="preserve">3 (Kuwait, Army logistics unit)</t>
  </si>
  <si>
    <t xml:space="preserve">First US fatalities</t>
  </si>
  <si>
    <t xml:space="preserve">US WIA Serious</t>
  </si>
  <si>
    <t xml:space="preserve">First US serious WIA</t>
  </si>
  <si>
    <t xml:space="preserve">US WIA Minor</t>
  </si>
  <si>
    <t xml:space="preserve">Several (shrapnel, concussions)</t>
  </si>
  <si>
    <t xml:space="preserve">Targets Hit</t>
  </si>
  <si>
    <t xml:space="preserve">360 attacks over 27 provinces (ACLED)</t>
  </si>
  <si>
    <t xml:space="preserve">1,000+ targets on Day 1 alone</t>
  </si>
  <si>
    <t xml:space="preserve">~3x more targets</t>
  </si>
  <si>
    <t xml:space="preserve">ACLED / CENTCOM</t>
  </si>
  <si>
    <t xml:space="preserve">Iranian Missiles vs Israel</t>
  </si>
  <si>
    <t xml:space="preserve">550+ ballistic + 1,000+ drones</t>
  </si>
  <si>
    <t xml:space="preserve">Hundreds (multiple barrages)</t>
  </si>
  <si>
    <t xml:space="preserve">Similar pace</t>
  </si>
  <si>
    <t xml:space="preserve">Times of Israel / USNI</t>
  </si>
  <si>
    <t xml:space="preserve">Interception rate (Iran→Israel)</t>
  </si>
  <si>
    <t xml:space="preserve">~99% drones, ~90% ballistic</t>
  </si>
  <si>
    <t xml:space="preserve">High (most intercepted)</t>
  </si>
  <si>
    <t xml:space="preserve">IDF / Qatar MoD</t>
  </si>
  <si>
    <t xml:space="preserve">Countries Iran Retaliated Against</t>
  </si>
  <si>
    <t xml:space="preserve">0 (only Israel)</t>
  </si>
  <si>
    <t xml:space="preserve">7 countries + maritime</t>
  </si>
  <si>
    <t xml:space="preserve">Massive regional spread</t>
  </si>
  <si>
    <t xml:space="preserve">US Bases Attacked</t>
  </si>
  <si>
    <t xml:space="preserve">1 (Al-Udeid on Day 10)</t>
  </si>
  <si>
    <t xml:space="preserve">6 US bases across region</t>
  </si>
  <si>
    <t xml:space="preserve">Huge escalation</t>
  </si>
  <si>
    <t xml:space="preserve">Ceasefire</t>
  </si>
  <si>
    <t xml:space="preserve">Jun 24 (US-brokered)</t>
  </si>
  <si>
    <t xml:space="preserve">None — active combat</t>
  </si>
  <si>
    <t xml:space="preserve">Nuclear Facilities Targeted</t>
  </si>
  <si>
    <t xml:space="preserve">Natanz, Fordow, Isfahan (US Day 10); dozens more by Israel</t>
  </si>
  <si>
    <t xml:space="preserve">Karaj, Qum, Tabriz, Kerman, Isfahan, multiple</t>
  </si>
  <si>
    <t xml:space="preserve">Comprehensive</t>
  </si>
  <si>
    <t xml:space="preserve">CENTCOM/IDF</t>
  </si>
  <si>
    <t xml:space="preserve">Hormuz Strait</t>
  </si>
  <si>
    <t xml:space="preserve">Open throughout</t>
  </si>
  <si>
    <t xml:space="preserve">Claimed closed by Iran; experts say open but stalled</t>
  </si>
  <si>
    <t xml:space="preserve">Rising risk</t>
  </si>
  <si>
    <t xml:space="preserve">USNI / JMIC</t>
  </si>
  <si>
    <t xml:space="preserve">Brent Oil Price Impact</t>
  </si>
  <si>
    <t xml:space="preserve">Minimal spike; stabilized</t>
  </si>
  <si>
    <t xml:space="preserve">~+19% YTD; war insurance causing delays</t>
  </si>
  <si>
    <t xml:space="preserve">Significant</t>
  </si>
  <si>
    <t xml:space="preserve">CNBC / JMIC</t>
  </si>
  <si>
    <t xml:space="preserve">ML STUDY GUIDE — CONFLICT CASUALTY PREDICTION STEP-BY-STEP</t>
  </si>
  <si>
    <t xml:space="preserve">Goal: Use historical 12-Day War data + live Epic Fury data to predict future casualties. Best algorithms: Random Forest, XGBoost, LSTM.</t>
  </si>
  <si>
    <t xml:space="preserve">STEP</t>
  </si>
  <si>
    <t xml:space="preserve">PHASE</t>
  </si>
  <si>
    <t xml:space="preserve">DETAILS / ACTIONS</t>
  </si>
  <si>
    <t xml:space="preserve">TOOLS / LIBRARIES</t>
  </si>
  <si>
    <t xml:space="preserve">Step 1</t>
  </si>
  <si>
    <t xml:space="preserve">Problem Definition</t>
  </si>
  <si>
    <t xml:space="preserve">Define your prediction target:
• Regression → predict exact daily casualty count
• Classification → predict 'Low / Medium / High' severity day
• Time Series → forecast next N days of casualties
Start with regression (daily Iran killed) as the main target.</t>
  </si>
  <si>
    <t xml:space="preserve">Python 3.10+, Jupyter Notebook, pandas</t>
  </si>
  <si>
    <t xml:space="preserve">Step 2</t>
  </si>
  <si>
    <t xml:space="preserve">Data Collection</t>
  </si>
  <si>
    <t xml:space="preserve">Collect per-day features for each conflict day:
• Daily strikes count &amp; target type (mil/civilian/nuclear)
• Missiles fired + drones fired by Iran
• Interception rate (%)
• Countries under attack count
• Leadership killed flag (0/1)
• Nuclear scientist killed (0/1)
• Prior day casualties (lag feature)
• Day number + conflict phase
• Escalation index (1=Low → 5=Critical)
• US involvement level (0/1/2)
• Ceasefire announced (0/1)</t>
  </si>
  <si>
    <t xml:space="preserve">HRANA reports, CENTCOM, ACLED dataset (acleddata.com), GDELT project, Statista, Wikipedia</t>
  </si>
  <si>
    <t xml:space="preserve">Step 3</t>
  </si>
  <si>
    <t xml:space="preserve">Feature Engineering</t>
  </si>
  <si>
    <t xml:space="preserve">Engineer additional features from raw data:
• rolling_3d_avg_killed = 3-day rolling mean of killed
• cumulative_killed = cumulative sum
• kill_wound_ratio = killed / wounded
• interception_rate_change = daily delta in %
• phase_flag: early/mid/late conflict
• us_escalation_score: 0=none, 1=partial, 2=full
• civilian_target_ratio = civ targets / total targets
Normalize all numeric features (MinMaxScaler).</t>
  </si>
  <si>
    <t xml:space="preserve">pandas, numpy, scikit-learn (MinMaxScaler)</t>
  </si>
  <si>
    <t xml:space="preserve">Step 4</t>
  </si>
  <si>
    <t xml:space="preserve">Data Preprocessing</t>
  </si>
  <si>
    <t xml:space="preserve">• Handle missing values: mean imputation for numeric, mode for categorical
• One-hot encode: target_type, conflict_id, country
• Scale: StandardScaler or MinMaxScaler on numeric
• Class imbalance (if classification): SMOTE
• Train/Test split:
  – Tabular (RF/XGB): 80% train / 20% test random
  – Time series (LSTM/ARIMA): Use TimeSeriesSplit!
    Never randomly split time-ordered data
• Set random_state=42 for reproducibility</t>
  </si>
  <si>
    <t xml:space="preserve">scikit-learn (train_test_split, TimeSeriesSplit, SMOTE), imbalanced-learn</t>
  </si>
  <si>
    <t xml:space="preserve">Step 5</t>
  </si>
  <si>
    <t xml:space="preserve">Model Selection &amp; Training</t>
  </si>
  <si>
    <t xml:space="preserve">RECOMMENDED ALGORITHMS (ranked for this task):
⭐⭐⭐ XGBoost / LightGBM
• Best accuracy on small tabular conflict data
• Handles missing values natively
• xgb.XGBRegressor(n_estimators=300, learning_rate=0.05)
⭐⭐⭐ Random Forest Regressor
• Robust to outliers (e.g. Minab 165 in one day)
• Built-in feature importance
• RandomForestRegressor(n_estimators=200, max_depth=8)
⭐⭐ LSTM (Long Short-Term Memory)
• Captures temporal sequence patterns
• Use 7-day input window to predict Day +1
• tf.keras Sequential([LSTM(64), Dense(1)])
⭐ Prophet (Facebook)
• Handles conflict 'breaks' (ceasefire dates)
• Easy to add regressors (US_involvement)
• from prophet import Prophet
⭐ ARIMA / SARIMA
• Statistical baseline, fast to train
• from statsmodels.tsa.arima.model import ARIMA</t>
  </si>
  <si>
    <t xml:space="preserve">scikit-learn, xgboost, lightgbm, tensorflow/keras, prophet, statsmodels</t>
  </si>
  <si>
    <t xml:space="preserve">Step 6</t>
  </si>
  <si>
    <t xml:space="preserve">Evaluation Metrics</t>
  </si>
  <si>
    <t xml:space="preserve">REGRESSION metrics:
• RMSE (Root Mean Squared Error) — penalizes large errors
  → target RMSE &lt; 30 killed/day
• MAE (Mean Absolute Error) — easier to interpret
• R² Score — % variance explained (target &gt;0.80)
CLASSIFICATION metrics:
• F1 Score (macro) — balanced for imbalanced classes
• ROC-AUC — discrimination ability
• Confusion matrix — see which class misclassified
TIME SERIES:
• sMAPE (symmetric MAPE) — % error direction-aware
• RMSE on test fold (walk-forward)
Use 5-fold cross-validation for tabular models.</t>
  </si>
  <si>
    <t xml:space="preserve">scikit-learn.metrics, sklearn.model_selection.cross_val_score</t>
  </si>
  <si>
    <t xml:space="preserve">Step 7</t>
  </si>
  <si>
    <t xml:space="preserve">Hyperparameter Tuning</t>
  </si>
  <si>
    <t xml:space="preserve">For XGBoost / RF:
• GridSearchCV (exhaustive, slow)
• RandomizedSearchCV (faster)
• Optuna (Bayesian optimization, best for neural nets)
Key params to tune for XGBoost:
• n_estimators: [100, 200, 300, 500]
• max_depth: [3, 5, 7, 9]
• learning_rate: [0.01, 0.05, 0.1]
• subsample: [0.6, 0.8, 1.0]
• colsample_bytree: [0.6, 0.8, 1.0]
For LSTM:
• units: [32, 64, 128]
• dropout: [0.1, 0.2, 0.3]
• batch_size: [8, 16, 32]
• epochs: [50, 100, 200] with early stopping</t>
  </si>
  <si>
    <t xml:space="preserve">scikit-learn (GridSearchCV, RandomizedSearchCV), Optuna, keras.callbacks.EarlyStopping</t>
  </si>
  <si>
    <t xml:space="preserve">Step 8</t>
  </si>
  <si>
    <t xml:space="preserve">Feature Importance &amp; Explainability</t>
  </si>
  <si>
    <t xml:space="preserve">After training, analyze which features drive predictions:
1. SHAP Values (best — model-agnostic)
   import shap
   explainer = shap.TreeExplainer(model)
   shap_values = explainer.shap_values(X_test)
   shap.summary_plot(shap_values, X_test)
2. Random Forest built-in importance
   pd.Series(rf.feature_importances_, index=features).sort_values()
3. Correlation heatmap (preprocessing step)
   sns.heatmap(df.corr(), annot=True)
Expected top features:
• prior_day_killed (lag-1)
• strikes_count
• civilian_target_flag
• escalation_index
• us_involvement_level
• leadership_killed_flag</t>
  </si>
  <si>
    <t xml:space="preserve">shap, matplotlib, seaborn</t>
  </si>
  <si>
    <t xml:space="preserve">Step 9</t>
  </si>
  <si>
    <t xml:space="preserve">Combining Both Conflict Datasets</t>
  </si>
  <si>
    <t xml:space="preserve">METHOD 1 — Direct Merge (simplest):
• Add conflict_id column (1=12-Day War, 2=Epic Fury)
• One-hot encode conflict_id
• Train single model on combined data
• Pros: more data; Cons: conflicts may be different
METHOD 2 — Transfer Learning (advanced):
• Pre-train XGBoost/LSTM on 12-Day War (complete dataset)
• Fine-tune on Epic Fury (limited days)
• Useful because Epic Fury data is still small
METHOD 3 — Ensemble:
• Train separate model per conflict
• Average/stack predictions
• Weight by recency (give Epic Fury model more weight)
RECOMMENDED: Start with Method 1, then compare Method 2.</t>
  </si>
  <si>
    <t xml:space="preserve">pandas (merge/concat), scikit-learn, tensorflow (transfer learning)</t>
  </si>
  <si>
    <t xml:space="preserve">Step 10</t>
  </si>
  <si>
    <t xml:space="preserve">Scenario Simulation &amp; Forecasting</t>
  </si>
  <si>
    <t xml:space="preserve">Use trained model to simulate future scenarios:
• Scenario A: US stops strikes (Day 10)
  → Set us_involvement=0, strikes_count=40
  → Predict: Iran daily killed ~50–70
• Scenario B: Full escalation continues
  → Set escalation_index=5, us_involvement=2
  → Predict: Iran daily killed ~150–200
• Scenario C: Ceasefire reached
  → Set ceasefire_flag=1 from day X
  → Model predicts declining trend
Monte Carlo simulation (1,000 runs) for uncertainty:
  np.random.normal(mean_pred, std_pred, 1000)
  Plot 5th–95th percentile confidence bands.</t>
  </si>
  <si>
    <t xml:space="preserve">numpy, scipy, matplotlib, seaborn</t>
  </si>
  <si>
    <t xml:space="preserve">Step 11</t>
  </si>
  <si>
    <t xml:space="preserve">Dashboard &amp; Deployment</t>
  </si>
  <si>
    <t xml:space="preserve">Build a live dashboard for daily updates:
1. Streamlit (fastest to deploy)
   streamlit run app.py
   → Upload new day's data → retrain → show predictions
2. Connect to live data feeds:
   • ACLED API (acleddata.com/api)
   • GDELT API (real-time news events)
   • Custom scraper for HRANA / CENTCOM updates
3. Dashboard sections:
   • Current cumulative casualties (chart)
   • Today's prediction vs actual
   • 7-day forecast with confidence intervals
   • Feature importance bar chart
   • Scenario simulator (sliders)
4. Production: Docker + FastAPI backend</t>
  </si>
  <si>
    <t xml:space="preserve">Streamlit, Plotly Dash, FastAPI, Docker, ACLED API</t>
  </si>
  <si>
    <t xml:space="preserve">ML ALGORITHM QUICK REFERENCE TABLE</t>
  </si>
  <si>
    <t xml:space="preserve">Algorithm</t>
  </si>
  <si>
    <t xml:space="preserve">Task</t>
  </si>
  <si>
    <t xml:space="preserve">Why Best for Conflict Data</t>
  </si>
  <si>
    <t xml:space="preserve">Difficulty &amp; Notes</t>
  </si>
  <si>
    <t xml:space="preserve">XGBoost / LightGBM</t>
  </si>
  <si>
    <t xml:space="preserve">Regression + Classification</t>
  </si>
  <si>
    <t xml:space="preserve">Best accuracy on small tabular datasets. Handles missing data. Fast. Industry standard for structured data.</t>
  </si>
  <si>
    <t xml:space="preserve">Medium. pip install xgboost lightgbm</t>
  </si>
  <si>
    <t xml:space="preserve">Random Forest</t>
  </si>
  <si>
    <t xml:space="preserve">Robust to outliers (extreme events like Minab 165 casualties). Provides native feature importance. Less overfitting than XGB on tiny datasets.</t>
  </si>
  <si>
    <t xml:space="preserve">Easy-Medium. sklearn built-in</t>
  </si>
  <si>
    <t xml:space="preserve">LSTM (RNN)</t>
  </si>
  <si>
    <t xml:space="preserve">Time-Series Forecasting</t>
  </si>
  <si>
    <t xml:space="preserve">Captures sequential patterns: if Day 1 had 203 killed, Day 2 likely lower (IRGC response pattern). Requires GPU for speed.</t>
  </si>
  <si>
    <t xml:space="preserve">Hard. TensorFlow/Keras. Need 30+ days data.</t>
  </si>
  <si>
    <t xml:space="preserve">Prophet</t>
  </si>
  <si>
    <t xml:space="preserve">Time-Series with Breaks</t>
  </si>
  <si>
    <t xml:space="preserve">Explicitly models ceasefire 'breakpoints'. Add US_involvement as external regressor. Interpretable output.</t>
  </si>
  <si>
    <t xml:space="preserve">Easy. pip install prophet</t>
  </si>
  <si>
    <t xml:space="preserve">ARIMA / SARIMA</t>
  </si>
  <si>
    <t xml:space="preserve">Time-Series Baseline</t>
  </si>
  <si>
    <t xml:space="preserve">Classic statistical model. Run as baseline before ML. ARIMA(p,d,q) on daily killed series.</t>
  </si>
  <si>
    <t xml:space="preserve">Medium. statsmodels</t>
  </si>
  <si>
    <t xml:space="preserve">Ridge/Lasso Regression</t>
  </si>
  <si>
    <t xml:space="preserve">Regression Baseline</t>
  </si>
  <si>
    <t xml:space="preserve">Simple linear baseline. Lasso does automatic feature selection. Always run as sanity check.</t>
  </si>
  <si>
    <t xml:space="preserve">Easy. sklearn</t>
  </si>
  <si>
    <t xml:space="preserve">SVM (SVR)</t>
  </si>
  <si>
    <t xml:space="preserve">Regression (small data)</t>
  </si>
  <si>
    <t xml:space="preserve">Works well when n_samples &lt; 200 (which is the case here). Kernel trick captures non-linearity.</t>
  </si>
  <si>
    <t xml:space="preserve">Medium. sklearn SVC/SVR</t>
  </si>
  <si>
    <t xml:space="preserve">Bayesian Ridge</t>
  </si>
  <si>
    <t xml:space="preserve">Regression + Uncertainty</t>
  </si>
  <si>
    <t xml:space="preserve">Provides probability distributions over predictions — gives uncertainty bands automatically.</t>
  </si>
  <si>
    <t xml:space="preserve">Medium. sklearn BayesianRidge</t>
  </si>
  <si>
    <t xml:space="preserve">Gradient Boosted Trees (sklearn)</t>
  </si>
  <si>
    <t xml:space="preserve">Regression</t>
  </si>
  <si>
    <t xml:space="preserve">Alternative to XGBoost. GradientBoostingRegressor. Slower but stable.</t>
  </si>
  <si>
    <t xml:space="preserve">Medium. sklearn</t>
  </si>
  <si>
    <t xml:space="preserve">COMBINED ML FEATURE DATASET — 12-Day War (2025) + Epic Fury (2026) — 15 Features, ML-Ready</t>
  </si>
  <si>
    <t xml:space="preserve">conflict_id</t>
  </si>
  <si>
    <t xml:space="preserve">day</t>
  </si>
  <si>
    <t xml:space="preserve">date</t>
  </si>
  <si>
    <t xml:space="preserve">strikes_count</t>
  </si>
  <si>
    <t xml:space="preserve">civilian_target_flag</t>
  </si>
  <si>
    <t xml:space="preserve">missile_count</t>
  </si>
  <si>
    <t xml:space="preserve">drone_count</t>
  </si>
  <si>
    <t xml:space="preserve">interception_rate</t>
  </si>
  <si>
    <t xml:space="preserve">countries_attacked</t>
  </si>
  <si>
    <t xml:space="preserve">leadership_killed</t>
  </si>
  <si>
    <t xml:space="preserve">us_involvement</t>
  </si>
  <si>
    <t xml:space="preserve">iran_killed</t>
  </si>
  <si>
    <t xml:space="preserve">iran_wounded</t>
  </si>
  <si>
    <t xml:space="preserve">prior_day_killed</t>
  </si>
  <si>
    <t xml:space="preserve">escalation_index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</si>
  <si>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</si>
  <si>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</si>
  <si>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</si>
  <si>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</si>
  <si>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</si>
  <si>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</si>
  <si>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</si>
  <si>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</si>
  <si>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</si>
  <si>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</si>
  <si>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</si>
  <si>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</si>
  <si>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2026-02-28</t>
  </si>
  <si>
    <t xml:space="preserve">2026-03-01</t>
  </si>
  <si>
    <t xml:space="preserve">2026-03-02</t>
  </si>
  <si>
    <t xml:space="preserve">FEATURE DICTIONARY &amp; ENCODING NOTES</t>
  </si>
  <si>
    <t xml:space="preserve">1 = 12-Day War (Jun 2025) | 2 = Op Epic Fury (Feb 2026)</t>
  </si>
  <si>
    <t xml:space="preserve">0 = military targets only | 1 = civilian or dual-use targets confirmed</t>
  </si>
  <si>
    <t xml:space="preserve">Number of countries Iran struck in retaliation (0 for 12-Day War)</t>
  </si>
  <si>
    <t xml:space="preserve">0 = no confirmed senior commander | 1 = IRGC/armed forces leadership killed</t>
  </si>
  <si>
    <t xml:space="preserve">0 = none | 1 = interception + indirect | 2 = direct strikes on Iran</t>
  </si>
  <si>
    <t xml:space="preserve">1=Low | 2=Moderate | 3=High | 4=Very High | 5=Critical (regime leadership targeted)</t>
  </si>
  <si>
    <t xml:space="preserve">% of Iranian drones/missiles intercepted before hitting targets</t>
  </si>
  <si>
    <t xml:space="preserve">Lag-1 feature: previous day's Iran killed count — KEY predictor</t>
  </si>
  <si>
    <t xml:space="preserve">Epic Fury Day 2–3</t>
  </si>
  <si>
    <t xml:space="preserve">Iranian Red Crescent did not release new totals after Day 1; '0' indicates data unavailable not zero casualties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</si>
</sst>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@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8B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A5276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color rgb="FFC0392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C0392B"/>
        <bgColor rgb="FFC0504D"/>
      </patternFill>
    </fill>
    <fill>
      <patternFill patternType="solid">
        <fgColor rgb="FF34495E"/>
        <bgColor rgb="FF2C3E50"/>
      </patternFill>
    </fill>
    <fill>
      <patternFill patternType="solid">
        <fgColor rgb="FF1A5276"/>
        <bgColor rgb="FF34495E"/>
      </patternFill>
    </fill>
    <fill>
      <patternFill patternType="solid">
        <fgColor rgb="FFE67E22"/>
        <bgColor rgb="FFFF9900"/>
      </patternFill>
    </fill>
    <fill>
      <patternFill patternType="solid">
        <fgColor rgb="FF1E8449"/>
        <bgColor rgb="FF008080"/>
      </patternFill>
    </fill>
    <fill>
      <patternFill patternType="solid">
        <fgColor rgb="FFECF0F1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C3E50"/>
        <bgColor rgb="FF34495E"/>
      </patternFill>
    </fill>
    <fill>
      <patternFill patternType="solid">
        <fgColor rgb="FF7B241C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DBDBD"/>
      <rgbColor rgb="FF878787"/>
      <rgbColor rgb="FF9999FF"/>
      <rgbColor rgb="FFC0392B"/>
      <rgbColor rgb="FFF9F9F9"/>
      <rgbColor rgb="FFECF0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4F81BD"/>
      <rgbColor rgb="FF969696"/>
      <rgbColor rgb="FF1A5276"/>
      <rgbColor rgb="FF1E8449"/>
      <rgbColor rgb="FF003300"/>
      <rgbColor rgb="FF555555"/>
      <rgbColor rgb="FF7B241C"/>
      <rgbColor rgb="FFC0504D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Iran Daily Casualties — 12-Day War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'12-Day War Daily Data'!C3</c:f>
              <c:strCache>
                <c:ptCount val="1"/>
                <c:pt idx="0">
                  <c:v>Iran Killed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'12-Day War Daily Data'!$B$4:$B$15</c:f>
              <c:strCache>
                <c:ptCount val="12"/>
                <c:pt idx="0">
                  <c:v>Jun 13</c:v>
                </c:pt>
                <c:pt idx="1">
                  <c:v>Jun 14</c:v>
                </c:pt>
                <c:pt idx="2">
                  <c:v>Jun 15</c:v>
                </c:pt>
                <c:pt idx="3">
                  <c:v>Jun 16</c:v>
                </c:pt>
                <c:pt idx="4">
                  <c:v>Jun 17</c:v>
                </c:pt>
                <c:pt idx="5">
                  <c:v>Jun 18</c:v>
                </c:pt>
                <c:pt idx="6">
                  <c:v>Jun 19</c:v>
                </c:pt>
                <c:pt idx="7">
                  <c:v>Jun 20</c:v>
                </c:pt>
                <c:pt idx="8">
                  <c:v>Jun 21</c:v>
                </c:pt>
                <c:pt idx="9">
                  <c:v>Jun 22</c:v>
                </c:pt>
                <c:pt idx="10">
                  <c:v>Jun 23</c:v>
                </c:pt>
                <c:pt idx="11">
                  <c:v>Jun 24</c:v>
                </c:pt>
              </c:strCache>
            </c:strRef>
          </c:cat>
          <c:val>
            <c:numRef>
              <c:f>'12-Day War Daily Data'!$C$4:$C$15</c:f>
              <c:numCache>
                <c:formatCode>#,##0</c:formatCode>
                <c:ptCount val="12"/>
                <c:pt idx="0">
                  <c:v>203</c:v>
                </c:pt>
                <c:pt idx="1">
                  <c:v>78</c:v>
                </c:pt>
                <c:pt idx="2">
                  <c:v>121</c:v>
                </c:pt>
                <c:pt idx="3">
                  <c:v>56</c:v>
                </c:pt>
                <c:pt idx="4">
                  <c:v>45</c:v>
                </c:pt>
                <c:pt idx="5">
                  <c:v>60</c:v>
                </c:pt>
                <c:pt idx="6">
                  <c:v>38</c:v>
                </c:pt>
                <c:pt idx="7">
                  <c:v>70</c:v>
                </c:pt>
                <c:pt idx="8">
                  <c:v>50</c:v>
                </c:pt>
                <c:pt idx="9">
                  <c:v>100</c:v>
                </c:pt>
                <c:pt idx="10">
                  <c:v>65</c:v>
                </c:pt>
                <c:pt idx="11">
                  <c:v>104</c:v>
                </c:pt>
              </c:numCache>
            </c:numRef>
          </c:val>
        </c:ser>
        <c:ser>
          <c:idx val="1"/>
          <c:order val="1"/>
          <c:tx>
            <c:strRef>
              <c:f>'12-Day War Daily Data'!D3</c:f>
              <c:strCache>
                <c:ptCount val="1"/>
                <c:pt idx="0">
                  <c:v>Iran Wounded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'12-Day War Daily Data'!$B$4:$B$15</c:f>
              <c:strCache>
                <c:ptCount val="12"/>
                <c:pt idx="0">
                  <c:v>Jun 13</c:v>
                </c:pt>
                <c:pt idx="1">
                  <c:v>Jun 14</c:v>
                </c:pt>
                <c:pt idx="2">
                  <c:v>Jun 15</c:v>
                </c:pt>
                <c:pt idx="3">
                  <c:v>Jun 16</c:v>
                </c:pt>
                <c:pt idx="4">
                  <c:v>Jun 17</c:v>
                </c:pt>
                <c:pt idx="5">
                  <c:v>Jun 18</c:v>
                </c:pt>
                <c:pt idx="6">
                  <c:v>Jun 19</c:v>
                </c:pt>
                <c:pt idx="7">
                  <c:v>Jun 20</c:v>
                </c:pt>
                <c:pt idx="8">
                  <c:v>Jun 21</c:v>
                </c:pt>
                <c:pt idx="9">
                  <c:v>Jun 22</c:v>
                </c:pt>
                <c:pt idx="10">
                  <c:v>Jun 23</c:v>
                </c:pt>
                <c:pt idx="11">
                  <c:v>Jun 24</c:v>
                </c:pt>
              </c:strCache>
            </c:strRef>
          </c:cat>
          <c:val>
            <c:numRef>
              <c:f>'12-Day War Daily Data'!$D$4:$D$15</c:f>
              <c:numCache>
                <c:formatCode>#,##0</c:formatCode>
                <c:ptCount val="12"/>
                <c:pt idx="0">
                  <c:v>570</c:v>
                </c:pt>
                <c:pt idx="1">
                  <c:v>200</c:v>
                </c:pt>
                <c:pt idx="2">
                  <c:v>330</c:v>
                </c:pt>
                <c:pt idx="3">
                  <c:v>180</c:v>
                </c:pt>
                <c:pt idx="4">
                  <c:v>120</c:v>
                </c:pt>
                <c:pt idx="5">
                  <c:v>150</c:v>
                </c:pt>
                <c:pt idx="6">
                  <c:v>95</c:v>
                </c:pt>
                <c:pt idx="7">
                  <c:v>210</c:v>
                </c:pt>
                <c:pt idx="8">
                  <c:v>130</c:v>
                </c:pt>
                <c:pt idx="9">
                  <c:v>280</c:v>
                </c:pt>
                <c:pt idx="10">
                  <c:v>170</c:v>
                </c:pt>
                <c:pt idx="11">
                  <c:v>300</c:v>
                </c:pt>
              </c:numCache>
            </c:numRef>
          </c:val>
        </c:ser>
        <c:gapWidth val="150"/>
        <c:overlap val="0"/>
        <c:axId val="5536208"/>
        <c:axId val="77735668"/>
      </c:barChart>
      <c:catAx>
        <c:axId val="55362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35668"/>
        <c:crosses val="autoZero"/>
        <c:auto val="1"/>
        <c:lblAlgn val="ctr"/>
        <c:lblOffset val="100"/>
        <c:noMultiLvlLbl val="0"/>
      </c:catAx>
      <c:valAx>
        <c:axId val="777356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62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7</xdr:col>
      <xdr:colOff>941760</xdr:colOff>
      <xdr:row>40</xdr:row>
      <xdr:rowOff>128520</xdr:rowOff>
    </xdr:to>
    <xdr:graphicFrame>
      <xdr:nvGraphicFramePr>
        <xdr:cNvPr id="0" name="Chart 1"/>
        <xdr:cNvGraphicFramePr/>
      </xdr:nvGraphicFramePr>
      <xdr:xfrm>
        <a:off x="0" y="66294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8"/>
    <col collapsed="false" customWidth="true" hidden="false" outlineLevel="0" max="7" min="7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5" t="s">
        <v>6</v>
      </c>
      <c r="F4" s="6" t="s">
        <v>7</v>
      </c>
      <c r="G4" s="6" t="s">
        <v>8</v>
      </c>
    </row>
    <row r="5" customFormat="false" ht="30" hidden="false" customHeight="true" outlineLevel="0" collapsed="false">
      <c r="A5" s="7" t="s">
        <v>9</v>
      </c>
      <c r="B5" s="7" t="s">
        <v>10</v>
      </c>
      <c r="C5" s="8" t="s">
        <v>11</v>
      </c>
      <c r="D5" s="8" t="s">
        <v>12</v>
      </c>
      <c r="E5" s="9" t="s">
        <v>13</v>
      </c>
      <c r="F5" s="10" t="s">
        <v>14</v>
      </c>
      <c r="G5" s="10" t="s">
        <v>15</v>
      </c>
    </row>
    <row r="7" customFormat="false" ht="21.75" hidden="false" customHeight="true" outlineLevel="0" collapsed="false">
      <c r="A7" s="11" t="s">
        <v>16</v>
      </c>
      <c r="B7" s="11"/>
      <c r="C7" s="11"/>
      <c r="D7" s="11"/>
      <c r="E7" s="11"/>
      <c r="F7" s="11"/>
      <c r="G7" s="11"/>
    </row>
    <row r="8" customFormat="false" ht="15" hidden="false" customHeight="false" outlineLevel="0" collapsed="false">
      <c r="A8" s="12" t="s">
        <v>17</v>
      </c>
      <c r="B8" s="12" t="s">
        <v>18</v>
      </c>
      <c r="C8" s="12" t="s">
        <v>19</v>
      </c>
      <c r="D8" s="12" t="s">
        <v>20</v>
      </c>
      <c r="E8" s="12" t="s">
        <v>21</v>
      </c>
      <c r="F8" s="12" t="s">
        <v>22</v>
      </c>
      <c r="G8" s="12" t="s">
        <v>23</v>
      </c>
    </row>
    <row r="9" customFormat="false" ht="18" hidden="false" customHeight="true" outlineLevel="0" collapsed="false">
      <c r="A9" s="13" t="s">
        <v>24</v>
      </c>
      <c r="B9" s="13" t="s">
        <v>25</v>
      </c>
      <c r="C9" s="13" t="s">
        <v>26</v>
      </c>
      <c r="D9" s="13" t="s">
        <v>27</v>
      </c>
      <c r="E9" s="13" t="s">
        <v>28</v>
      </c>
      <c r="F9" s="13" t="s">
        <v>29</v>
      </c>
      <c r="G9" s="13" t="s">
        <v>30</v>
      </c>
    </row>
    <row r="10" customFormat="false" ht="18" hidden="false" customHeight="true" outlineLevel="0" collapsed="false">
      <c r="A10" s="14" t="s">
        <v>31</v>
      </c>
      <c r="B10" s="14" t="s">
        <v>32</v>
      </c>
      <c r="C10" s="14" t="s">
        <v>33</v>
      </c>
      <c r="D10" s="14" t="s">
        <v>34</v>
      </c>
      <c r="E10" s="14" t="s">
        <v>35</v>
      </c>
      <c r="F10" s="14" t="s">
        <v>36</v>
      </c>
      <c r="G10" s="14" t="s">
        <v>37</v>
      </c>
    </row>
    <row r="11" customFormat="false" ht="18" hidden="false" customHeight="true" outlineLevel="0" collapsed="false">
      <c r="A11" s="13" t="s">
        <v>38</v>
      </c>
      <c r="B11" s="13" t="s">
        <v>39</v>
      </c>
      <c r="C11" s="13" t="s">
        <v>40</v>
      </c>
      <c r="D11" s="13" t="s">
        <v>41</v>
      </c>
      <c r="E11" s="13" t="s">
        <v>42</v>
      </c>
      <c r="F11" s="13" t="s">
        <v>43</v>
      </c>
      <c r="G11" s="13" t="s">
        <v>44</v>
      </c>
    </row>
    <row r="13" customFormat="false" ht="18" hidden="false" customHeight="true" outlineLevel="0" collapsed="false">
      <c r="A13" s="15" t="s">
        <v>45</v>
      </c>
      <c r="B13" s="15"/>
      <c r="C13" s="15"/>
      <c r="D13" s="15"/>
      <c r="E13" s="15"/>
      <c r="F13" s="15"/>
      <c r="G13" s="15"/>
    </row>
  </sheetData>
  <mergeCells count="4">
    <mergeCell ref="A1:G1"/>
    <mergeCell ref="A2:G2"/>
    <mergeCell ref="A7:G7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20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16" t="s">
        <v>46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18" hidden="false" customHeight="true" outlineLevel="0" collapsed="false">
      <c r="A2" s="17" t="s">
        <v>47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customFormat="false" ht="30" hidden="false" customHeight="true" outlineLevel="0" collapsed="false">
      <c r="A3" s="18" t="s">
        <v>48</v>
      </c>
      <c r="B3" s="18" t="s">
        <v>49</v>
      </c>
      <c r="C3" s="18" t="s">
        <v>50</v>
      </c>
      <c r="D3" s="18" t="s">
        <v>51</v>
      </c>
      <c r="E3" s="18" t="s">
        <v>52</v>
      </c>
      <c r="F3" s="18" t="s">
        <v>53</v>
      </c>
      <c r="G3" s="18" t="s">
        <v>54</v>
      </c>
      <c r="H3" s="18" t="s">
        <v>55</v>
      </c>
      <c r="I3" s="18" t="s">
        <v>56</v>
      </c>
      <c r="J3" s="18" t="s">
        <v>57</v>
      </c>
      <c r="K3" s="18" t="s">
        <v>58</v>
      </c>
    </row>
    <row r="4" customFormat="false" ht="34.5" hidden="false" customHeight="true" outlineLevel="0" collapsed="false">
      <c r="A4" s="13" t="n">
        <v>1</v>
      </c>
      <c r="B4" s="13" t="s">
        <v>59</v>
      </c>
      <c r="C4" s="19" t="n">
        <v>203</v>
      </c>
      <c r="D4" s="19" t="n">
        <v>570</v>
      </c>
      <c r="E4" s="19" t="n">
        <v>203</v>
      </c>
      <c r="F4" s="19" t="n">
        <v>570</v>
      </c>
      <c r="G4" s="19" t="n">
        <v>0</v>
      </c>
      <c r="H4" s="19" t="n">
        <v>100</v>
      </c>
      <c r="I4" s="19" t="n">
        <v>0</v>
      </c>
      <c r="J4" s="20" t="n">
        <v>0.97</v>
      </c>
      <c r="K4" s="21" t="s">
        <v>60</v>
      </c>
    </row>
    <row r="5" customFormat="false" ht="18" hidden="false" customHeight="true" outlineLevel="0" collapsed="false">
      <c r="A5" s="14" t="n">
        <v>2</v>
      </c>
      <c r="B5" s="14" t="s">
        <v>61</v>
      </c>
      <c r="C5" s="22" t="n">
        <v>78</v>
      </c>
      <c r="D5" s="22" t="n">
        <v>200</v>
      </c>
      <c r="E5" s="22" t="n">
        <v>281</v>
      </c>
      <c r="F5" s="22" t="n">
        <v>770</v>
      </c>
      <c r="G5" s="22" t="n">
        <v>1</v>
      </c>
      <c r="H5" s="22" t="n">
        <v>150</v>
      </c>
      <c r="I5" s="22" t="n">
        <v>1</v>
      </c>
      <c r="J5" s="23" t="n">
        <v>0.96</v>
      </c>
      <c r="K5" s="24" t="s">
        <v>62</v>
      </c>
    </row>
    <row r="6" customFormat="false" ht="34.5" hidden="false" customHeight="true" outlineLevel="0" collapsed="false">
      <c r="A6" s="13" t="n">
        <v>3</v>
      </c>
      <c r="B6" s="13" t="s">
        <v>63</v>
      </c>
      <c r="C6" s="19" t="n">
        <v>121</v>
      </c>
      <c r="D6" s="19" t="n">
        <v>330</v>
      </c>
      <c r="E6" s="19" t="n">
        <v>402</v>
      </c>
      <c r="F6" s="19" t="n">
        <v>1100</v>
      </c>
      <c r="G6" s="19" t="n">
        <v>10</v>
      </c>
      <c r="H6" s="19" t="n">
        <v>649</v>
      </c>
      <c r="I6" s="19" t="n">
        <v>11</v>
      </c>
      <c r="J6" s="20" t="n">
        <v>0.95</v>
      </c>
      <c r="K6" s="21" t="s">
        <v>64</v>
      </c>
    </row>
    <row r="7" customFormat="false" ht="34.5" hidden="false" customHeight="true" outlineLevel="0" collapsed="false">
      <c r="A7" s="14" t="n">
        <v>4</v>
      </c>
      <c r="B7" s="14" t="s">
        <v>65</v>
      </c>
      <c r="C7" s="22" t="n">
        <v>56</v>
      </c>
      <c r="D7" s="22" t="n">
        <v>180</v>
      </c>
      <c r="E7" s="22" t="n">
        <v>458</v>
      </c>
      <c r="F7" s="22" t="n">
        <v>1280</v>
      </c>
      <c r="G7" s="22" t="n">
        <v>8</v>
      </c>
      <c r="H7" s="22" t="n">
        <v>100</v>
      </c>
      <c r="I7" s="22" t="n">
        <v>19</v>
      </c>
      <c r="J7" s="23" t="n">
        <v>0.94</v>
      </c>
      <c r="K7" s="24" t="s">
        <v>66</v>
      </c>
    </row>
    <row r="8" customFormat="false" ht="18" hidden="false" customHeight="true" outlineLevel="0" collapsed="false">
      <c r="A8" s="13" t="n">
        <v>5</v>
      </c>
      <c r="B8" s="13" t="s">
        <v>67</v>
      </c>
      <c r="C8" s="19" t="n">
        <v>45</v>
      </c>
      <c r="D8" s="19" t="n">
        <v>120</v>
      </c>
      <c r="E8" s="19" t="n">
        <v>503</v>
      </c>
      <c r="F8" s="19" t="n">
        <v>1400</v>
      </c>
      <c r="G8" s="19" t="n">
        <v>2</v>
      </c>
      <c r="H8" s="19" t="n">
        <v>80</v>
      </c>
      <c r="I8" s="19" t="n">
        <v>21</v>
      </c>
      <c r="J8" s="20" t="n">
        <v>0.95</v>
      </c>
      <c r="K8" s="21" t="s">
        <v>68</v>
      </c>
    </row>
    <row r="9" customFormat="false" ht="34.5" hidden="false" customHeight="true" outlineLevel="0" collapsed="false">
      <c r="A9" s="14" t="n">
        <v>6</v>
      </c>
      <c r="B9" s="14" t="s">
        <v>69</v>
      </c>
      <c r="C9" s="22" t="n">
        <v>60</v>
      </c>
      <c r="D9" s="22" t="n">
        <v>150</v>
      </c>
      <c r="E9" s="22" t="n">
        <v>563</v>
      </c>
      <c r="F9" s="22" t="n">
        <v>1550</v>
      </c>
      <c r="G9" s="22" t="n">
        <v>2</v>
      </c>
      <c r="H9" s="22" t="n">
        <v>200</v>
      </c>
      <c r="I9" s="22" t="n">
        <v>23</v>
      </c>
      <c r="J9" s="23" t="n">
        <v>0.93</v>
      </c>
      <c r="K9" s="24" t="s">
        <v>70</v>
      </c>
    </row>
    <row r="10" customFormat="false" ht="34.5" hidden="false" customHeight="true" outlineLevel="0" collapsed="false">
      <c r="A10" s="13" t="n">
        <v>7</v>
      </c>
      <c r="B10" s="13" t="s">
        <v>71</v>
      </c>
      <c r="C10" s="19" t="n">
        <v>38</v>
      </c>
      <c r="D10" s="19" t="n">
        <v>95</v>
      </c>
      <c r="E10" s="19" t="n">
        <v>601</v>
      </c>
      <c r="F10" s="19" t="n">
        <v>1645</v>
      </c>
      <c r="G10" s="19" t="n">
        <v>1</v>
      </c>
      <c r="H10" s="19" t="n">
        <v>50</v>
      </c>
      <c r="I10" s="19" t="n">
        <v>24</v>
      </c>
      <c r="J10" s="20" t="n">
        <v>0.95</v>
      </c>
      <c r="K10" s="21" t="s">
        <v>72</v>
      </c>
    </row>
    <row r="11" customFormat="false" ht="34.5" hidden="false" customHeight="true" outlineLevel="0" collapsed="false">
      <c r="A11" s="14" t="n">
        <v>8</v>
      </c>
      <c r="B11" s="14" t="s">
        <v>73</v>
      </c>
      <c r="C11" s="22" t="n">
        <v>70</v>
      </c>
      <c r="D11" s="22" t="n">
        <v>210</v>
      </c>
      <c r="E11" s="22" t="n">
        <v>671</v>
      </c>
      <c r="F11" s="22" t="n">
        <v>1855</v>
      </c>
      <c r="G11" s="22" t="n">
        <v>1</v>
      </c>
      <c r="H11" s="22" t="n">
        <v>100</v>
      </c>
      <c r="I11" s="22" t="n">
        <v>25</v>
      </c>
      <c r="J11" s="23" t="n">
        <v>0.94</v>
      </c>
      <c r="K11" s="24" t="s">
        <v>74</v>
      </c>
    </row>
    <row r="12" customFormat="false" ht="18" hidden="false" customHeight="true" outlineLevel="0" collapsed="false">
      <c r="A12" s="13" t="n">
        <v>9</v>
      </c>
      <c r="B12" s="13" t="s">
        <v>75</v>
      </c>
      <c r="C12" s="19" t="n">
        <v>50</v>
      </c>
      <c r="D12" s="19" t="n">
        <v>130</v>
      </c>
      <c r="E12" s="19" t="n">
        <v>721</v>
      </c>
      <c r="F12" s="19" t="n">
        <v>1985</v>
      </c>
      <c r="G12" s="19" t="n">
        <v>0</v>
      </c>
      <c r="H12" s="19" t="n">
        <v>80</v>
      </c>
      <c r="I12" s="19" t="n">
        <v>25</v>
      </c>
      <c r="J12" s="20" t="n">
        <v>0.96</v>
      </c>
      <c r="K12" s="21" t="s">
        <v>76</v>
      </c>
    </row>
    <row r="13" customFormat="false" ht="34.5" hidden="false" customHeight="true" outlineLevel="0" collapsed="false">
      <c r="A13" s="14" t="n">
        <v>10</v>
      </c>
      <c r="B13" s="14" t="s">
        <v>77</v>
      </c>
      <c r="C13" s="22" t="n">
        <v>100</v>
      </c>
      <c r="D13" s="22" t="n">
        <v>280</v>
      </c>
      <c r="E13" s="22" t="n">
        <v>821</v>
      </c>
      <c r="F13" s="22" t="n">
        <v>2265</v>
      </c>
      <c r="G13" s="22" t="n">
        <v>3</v>
      </c>
      <c r="H13" s="22" t="n">
        <v>90</v>
      </c>
      <c r="I13" s="22" t="n">
        <v>28</v>
      </c>
      <c r="J13" s="23" t="n">
        <v>0.97</v>
      </c>
      <c r="K13" s="24" t="s">
        <v>78</v>
      </c>
    </row>
    <row r="14" customFormat="false" ht="34.5" hidden="false" customHeight="true" outlineLevel="0" collapsed="false">
      <c r="A14" s="13" t="n">
        <v>11</v>
      </c>
      <c r="B14" s="13" t="s">
        <v>79</v>
      </c>
      <c r="C14" s="19" t="n">
        <v>65</v>
      </c>
      <c r="D14" s="19" t="n">
        <v>170</v>
      </c>
      <c r="E14" s="19" t="n">
        <v>886</v>
      </c>
      <c r="F14" s="19" t="n">
        <v>2435</v>
      </c>
      <c r="G14" s="19" t="n">
        <v>0</v>
      </c>
      <c r="H14" s="19" t="n">
        <v>70</v>
      </c>
      <c r="I14" s="19" t="n">
        <v>28</v>
      </c>
      <c r="J14" s="20" t="n">
        <v>0.96</v>
      </c>
      <c r="K14" s="21" t="s">
        <v>80</v>
      </c>
    </row>
    <row r="15" customFormat="false" ht="34.5" hidden="false" customHeight="true" outlineLevel="0" collapsed="false">
      <c r="A15" s="14" t="n">
        <v>12</v>
      </c>
      <c r="B15" s="14" t="s">
        <v>81</v>
      </c>
      <c r="C15" s="22" t="n">
        <v>104</v>
      </c>
      <c r="D15" s="22" t="n">
        <v>300</v>
      </c>
      <c r="E15" s="22" t="n">
        <v>990</v>
      </c>
      <c r="F15" s="22" t="n">
        <v>2735</v>
      </c>
      <c r="G15" s="22" t="n">
        <v>0</v>
      </c>
      <c r="H15" s="22" t="n">
        <v>60</v>
      </c>
      <c r="I15" s="22" t="n">
        <v>28</v>
      </c>
      <c r="J15" s="23" t="n">
        <v>0.97</v>
      </c>
      <c r="K15" s="24" t="s">
        <v>82</v>
      </c>
    </row>
    <row r="16" customFormat="false" ht="19.5" hidden="false" customHeight="true" outlineLevel="0" collapsed="false">
      <c r="A16" s="25" t="s">
        <v>83</v>
      </c>
      <c r="B16" s="25"/>
      <c r="C16" s="26" t="n">
        <f aca="false">SUM(C4:C15)</f>
        <v>990</v>
      </c>
      <c r="D16" s="26" t="n">
        <f aca="false">SUM(D4:D15)</f>
        <v>2735</v>
      </c>
      <c r="E16" s="26" t="n">
        <f aca="false">MAX(E4:E15)</f>
        <v>990</v>
      </c>
      <c r="F16" s="26" t="n">
        <f aca="false">MAX(F4:F15)</f>
        <v>2735</v>
      </c>
      <c r="G16" s="26" t="n">
        <f aca="false">SUM(G4:G15)</f>
        <v>28</v>
      </c>
      <c r="H16" s="26" t="n">
        <f aca="false">SUM(H4:H15)</f>
        <v>1729</v>
      </c>
      <c r="I16" s="26" t="n">
        <f aca="false">MAX(I4:I15)</f>
        <v>28</v>
      </c>
      <c r="J16" s="27" t="s">
        <v>84</v>
      </c>
      <c r="K16" s="28"/>
    </row>
    <row r="17" customFormat="false" ht="45" hidden="false" customHeight="true" outlineLevel="0" collapsed="false">
      <c r="A17" s="29" t="s">
        <v>85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</row>
  </sheetData>
  <mergeCells count="4">
    <mergeCell ref="A1:K1"/>
    <mergeCell ref="A2:K2"/>
    <mergeCell ref="A16:B16"/>
    <mergeCell ref="A17:K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7" min="7" style="0" width="22"/>
    <col collapsed="false" customWidth="true" hidden="false" outlineLevel="0" max="8" min="8" style="0" width="26"/>
  </cols>
  <sheetData>
    <row r="1" customFormat="false" ht="30" hidden="false" customHeight="true" outlineLevel="0" collapsed="false">
      <c r="A1" s="30" t="s">
        <v>86</v>
      </c>
      <c r="B1" s="30"/>
      <c r="C1" s="30"/>
      <c r="D1" s="30"/>
      <c r="E1" s="30"/>
      <c r="F1" s="30"/>
      <c r="G1" s="30"/>
      <c r="H1" s="30"/>
    </row>
    <row r="2" customFormat="false" ht="18" hidden="false" customHeight="true" outlineLevel="0" collapsed="false">
      <c r="A2" s="17" t="s">
        <v>87</v>
      </c>
      <c r="B2" s="17"/>
      <c r="C2" s="17"/>
      <c r="D2" s="17"/>
      <c r="E2" s="17"/>
      <c r="F2" s="17"/>
      <c r="G2" s="17"/>
      <c r="H2" s="17"/>
    </row>
    <row r="4" customFormat="false" ht="15" hidden="false" customHeight="false" outlineLevel="0" collapsed="false">
      <c r="A4" s="31" t="s">
        <v>88</v>
      </c>
      <c r="B4" s="31"/>
      <c r="C4" s="31"/>
      <c r="D4" s="31"/>
      <c r="E4" s="31"/>
      <c r="F4" s="31"/>
      <c r="G4" s="31"/>
      <c r="H4" s="31"/>
    </row>
    <row r="5" customFormat="false" ht="15" hidden="false" customHeight="false" outlineLevel="0" collapsed="false">
      <c r="A5" s="32" t="s">
        <v>89</v>
      </c>
      <c r="B5" s="32" t="s">
        <v>90</v>
      </c>
      <c r="C5" s="32" t="s">
        <v>91</v>
      </c>
      <c r="D5" s="32" t="s">
        <v>92</v>
      </c>
      <c r="E5" s="32" t="s">
        <v>23</v>
      </c>
      <c r="F5" s="32" t="s">
        <v>93</v>
      </c>
    </row>
    <row r="6" customFormat="false" ht="18" hidden="false" customHeight="true" outlineLevel="0" collapsed="false">
      <c r="A6" s="13" t="s">
        <v>94</v>
      </c>
      <c r="B6" s="13" t="n">
        <v>201</v>
      </c>
      <c r="C6" s="13" t="s">
        <v>95</v>
      </c>
      <c r="D6" s="13" t="s">
        <v>96</v>
      </c>
      <c r="E6" s="21" t="s">
        <v>97</v>
      </c>
      <c r="F6" s="21" t="s">
        <v>98</v>
      </c>
    </row>
    <row r="7" customFormat="false" ht="18" hidden="false" customHeight="true" outlineLevel="0" collapsed="false">
      <c r="A7" s="14" t="s">
        <v>99</v>
      </c>
      <c r="B7" s="14" t="n">
        <v>747</v>
      </c>
      <c r="C7" s="14" t="s">
        <v>95</v>
      </c>
      <c r="D7" s="14" t="s">
        <v>96</v>
      </c>
      <c r="E7" s="24" t="s">
        <v>97</v>
      </c>
      <c r="F7" s="24" t="s">
        <v>100</v>
      </c>
    </row>
    <row r="8" customFormat="false" ht="27.75" hidden="false" customHeight="true" outlineLevel="0" collapsed="false">
      <c r="A8" s="13" t="s">
        <v>101</v>
      </c>
      <c r="B8" s="13" t="s">
        <v>102</v>
      </c>
      <c r="C8" s="13" t="s">
        <v>103</v>
      </c>
      <c r="D8" s="13" t="s">
        <v>96</v>
      </c>
      <c r="E8" s="21" t="s">
        <v>104</v>
      </c>
      <c r="F8" s="21" t="s">
        <v>105</v>
      </c>
    </row>
    <row r="9" customFormat="false" ht="18" hidden="false" customHeight="true" outlineLevel="0" collapsed="false">
      <c r="A9" s="14" t="s">
        <v>106</v>
      </c>
      <c r="B9" s="14" t="s">
        <v>107</v>
      </c>
      <c r="C9" s="14" t="s">
        <v>108</v>
      </c>
      <c r="D9" s="14" t="s">
        <v>96</v>
      </c>
      <c r="E9" s="24" t="s">
        <v>109</v>
      </c>
      <c r="F9" s="24" t="s">
        <v>110</v>
      </c>
    </row>
    <row r="10" customFormat="false" ht="18" hidden="false" customHeight="true" outlineLevel="0" collapsed="false">
      <c r="A10" s="13" t="s">
        <v>111</v>
      </c>
      <c r="B10" s="13" t="s">
        <v>112</v>
      </c>
      <c r="C10" s="13" t="s">
        <v>113</v>
      </c>
      <c r="D10" s="13" t="s">
        <v>114</v>
      </c>
      <c r="E10" s="21" t="s">
        <v>115</v>
      </c>
      <c r="F10" s="21" t="s">
        <v>116</v>
      </c>
    </row>
    <row r="11" customFormat="false" ht="18" hidden="false" customHeight="true" outlineLevel="0" collapsed="false">
      <c r="A11" s="14" t="s">
        <v>117</v>
      </c>
      <c r="B11" s="14" t="s">
        <v>118</v>
      </c>
      <c r="C11" s="14" t="s">
        <v>113</v>
      </c>
      <c r="D11" s="14" t="s">
        <v>119</v>
      </c>
      <c r="E11" s="24" t="s">
        <v>120</v>
      </c>
      <c r="F11" s="24" t="s">
        <v>121</v>
      </c>
    </row>
    <row r="12" customFormat="false" ht="27.75" hidden="false" customHeight="true" outlineLevel="0" collapsed="false">
      <c r="A12" s="13" t="s">
        <v>122</v>
      </c>
      <c r="B12" s="13" t="s">
        <v>123</v>
      </c>
      <c r="C12" s="13" t="s">
        <v>124</v>
      </c>
      <c r="D12" s="13" t="s">
        <v>125</v>
      </c>
      <c r="E12" s="21" t="s">
        <v>126</v>
      </c>
      <c r="F12" s="21" t="s">
        <v>127</v>
      </c>
    </row>
    <row r="13" customFormat="false" ht="27.75" hidden="false" customHeight="true" outlineLevel="0" collapsed="false">
      <c r="A13" s="14" t="s">
        <v>128</v>
      </c>
      <c r="B13" s="14" t="s">
        <v>129</v>
      </c>
      <c r="C13" s="14" t="s">
        <v>113</v>
      </c>
      <c r="D13" s="14" t="s">
        <v>130</v>
      </c>
      <c r="E13" s="24" t="s">
        <v>131</v>
      </c>
      <c r="F13" s="24" t="s">
        <v>132</v>
      </c>
    </row>
    <row r="14" customFormat="false" ht="18" hidden="false" customHeight="true" outlineLevel="0" collapsed="false">
      <c r="A14" s="13" t="s">
        <v>133</v>
      </c>
      <c r="B14" s="13" t="s">
        <v>134</v>
      </c>
      <c r="C14" s="13" t="s">
        <v>135</v>
      </c>
      <c r="D14" s="13" t="s">
        <v>130</v>
      </c>
      <c r="E14" s="21" t="s">
        <v>136</v>
      </c>
      <c r="F14" s="21" t="s">
        <v>137</v>
      </c>
    </row>
    <row r="17" customFormat="false" ht="15" hidden="false" customHeight="false" outlineLevel="0" collapsed="false">
      <c r="A17" s="33" t="s">
        <v>138</v>
      </c>
      <c r="B17" s="33"/>
      <c r="C17" s="33"/>
      <c r="D17" s="33"/>
      <c r="E17" s="33"/>
      <c r="F17" s="33"/>
      <c r="G17" s="33"/>
      <c r="H17" s="33"/>
    </row>
    <row r="18" customFormat="false" ht="15" hidden="false" customHeight="false" outlineLevel="0" collapsed="false">
      <c r="A18" s="32" t="s">
        <v>139</v>
      </c>
      <c r="B18" s="32" t="s">
        <v>140</v>
      </c>
      <c r="C18" s="32" t="s">
        <v>141</v>
      </c>
      <c r="D18" s="32" t="s">
        <v>142</v>
      </c>
      <c r="E18" s="32" t="s">
        <v>143</v>
      </c>
      <c r="F18" s="32" t="s">
        <v>49</v>
      </c>
      <c r="G18" s="32" t="s">
        <v>144</v>
      </c>
      <c r="H18" s="32" t="s">
        <v>23</v>
      </c>
    </row>
    <row r="19" customFormat="false" ht="24.75" hidden="false" customHeight="true" outlineLevel="0" collapsed="false">
      <c r="A19" s="13" t="s">
        <v>145</v>
      </c>
      <c r="B19" s="13" t="s">
        <v>14</v>
      </c>
      <c r="C19" s="13" t="s">
        <v>146</v>
      </c>
      <c r="D19" s="13" t="s">
        <v>147</v>
      </c>
      <c r="E19" s="13" t="s">
        <v>148</v>
      </c>
      <c r="F19" s="13" t="s">
        <v>149</v>
      </c>
      <c r="G19" s="21" t="s">
        <v>150</v>
      </c>
      <c r="H19" s="21" t="s">
        <v>151</v>
      </c>
    </row>
    <row r="20" customFormat="false" ht="24.75" hidden="false" customHeight="true" outlineLevel="0" collapsed="false">
      <c r="A20" s="14" t="s">
        <v>152</v>
      </c>
      <c r="B20" s="14" t="s">
        <v>153</v>
      </c>
      <c r="C20" s="14" t="s">
        <v>154</v>
      </c>
      <c r="D20" s="14" t="s">
        <v>155</v>
      </c>
      <c r="E20" s="14" t="s">
        <v>156</v>
      </c>
      <c r="F20" s="14" t="s">
        <v>157</v>
      </c>
      <c r="G20" s="24" t="s">
        <v>158</v>
      </c>
      <c r="H20" s="24" t="s">
        <v>159</v>
      </c>
    </row>
    <row r="21" customFormat="false" ht="24.75" hidden="false" customHeight="true" outlineLevel="0" collapsed="false">
      <c r="A21" s="13" t="s">
        <v>160</v>
      </c>
      <c r="B21" s="13" t="s">
        <v>161</v>
      </c>
      <c r="C21" s="13" t="s">
        <v>162</v>
      </c>
      <c r="D21" s="13"/>
      <c r="E21" s="13" t="s">
        <v>163</v>
      </c>
      <c r="F21" s="13" t="s">
        <v>125</v>
      </c>
      <c r="G21" s="21" t="s">
        <v>164</v>
      </c>
      <c r="H21" s="21" t="s">
        <v>165</v>
      </c>
    </row>
    <row r="22" customFormat="false" ht="24.75" hidden="false" customHeight="true" outlineLevel="0" collapsed="false">
      <c r="A22" s="14" t="s">
        <v>166</v>
      </c>
      <c r="B22" s="14" t="s">
        <v>167</v>
      </c>
      <c r="C22" s="14" t="s">
        <v>168</v>
      </c>
      <c r="D22" s="14"/>
      <c r="E22" s="14" t="s">
        <v>169</v>
      </c>
      <c r="F22" s="14" t="s">
        <v>130</v>
      </c>
      <c r="G22" s="24" t="s">
        <v>170</v>
      </c>
      <c r="H22" s="24" t="s">
        <v>171</v>
      </c>
    </row>
    <row r="23" customFormat="false" ht="24.75" hidden="false" customHeight="true" outlineLevel="0" collapsed="false">
      <c r="A23" s="13" t="s">
        <v>172</v>
      </c>
      <c r="B23" s="13" t="s">
        <v>173</v>
      </c>
      <c r="C23" s="13" t="s">
        <v>174</v>
      </c>
      <c r="D23" s="13"/>
      <c r="E23" s="13" t="s">
        <v>175</v>
      </c>
      <c r="F23" s="13" t="s">
        <v>130</v>
      </c>
      <c r="G23" s="21" t="s">
        <v>176</v>
      </c>
      <c r="H23" s="21" t="s">
        <v>177</v>
      </c>
    </row>
    <row r="24" customFormat="false" ht="24.75" hidden="false" customHeight="true" outlineLevel="0" collapsed="false">
      <c r="A24" s="14" t="s">
        <v>178</v>
      </c>
      <c r="B24" s="14" t="s">
        <v>161</v>
      </c>
      <c r="C24" s="14" t="s">
        <v>179</v>
      </c>
      <c r="D24" s="14"/>
      <c r="E24" s="14" t="s">
        <v>180</v>
      </c>
      <c r="F24" s="14" t="s">
        <v>130</v>
      </c>
      <c r="G24" s="24" t="s">
        <v>181</v>
      </c>
      <c r="H24" s="24" t="s">
        <v>182</v>
      </c>
    </row>
    <row r="25" customFormat="false" ht="24.75" hidden="false" customHeight="true" outlineLevel="0" collapsed="false">
      <c r="A25" s="13" t="s">
        <v>183</v>
      </c>
      <c r="B25" s="13" t="s">
        <v>161</v>
      </c>
      <c r="C25" s="13" t="s">
        <v>179</v>
      </c>
      <c r="D25" s="13"/>
      <c r="E25" s="13" t="s">
        <v>184</v>
      </c>
      <c r="F25" s="13" t="s">
        <v>130</v>
      </c>
      <c r="G25" s="21" t="s">
        <v>185</v>
      </c>
      <c r="H25" s="21" t="s">
        <v>186</v>
      </c>
    </row>
    <row r="26" customFormat="false" ht="24.75" hidden="false" customHeight="true" outlineLevel="0" collapsed="false">
      <c r="A26" s="14" t="s">
        <v>187</v>
      </c>
      <c r="B26" s="14" t="s">
        <v>161</v>
      </c>
      <c r="C26" s="14" t="s">
        <v>179</v>
      </c>
      <c r="D26" s="14"/>
      <c r="E26" s="14" t="s">
        <v>188</v>
      </c>
      <c r="F26" s="14" t="s">
        <v>130</v>
      </c>
      <c r="G26" s="24" t="s">
        <v>189</v>
      </c>
      <c r="H26" s="24" t="s">
        <v>190</v>
      </c>
    </row>
    <row r="27" customFormat="false" ht="24.75" hidden="false" customHeight="true" outlineLevel="0" collapsed="false">
      <c r="A27" s="13" t="s">
        <v>191</v>
      </c>
      <c r="B27" s="13" t="s">
        <v>192</v>
      </c>
      <c r="C27" s="13" t="s">
        <v>193</v>
      </c>
      <c r="D27" s="13"/>
      <c r="E27" s="13" t="s">
        <v>194</v>
      </c>
      <c r="F27" s="13" t="s">
        <v>130</v>
      </c>
      <c r="G27" s="21" t="s">
        <v>195</v>
      </c>
      <c r="H27" s="21" t="s">
        <v>196</v>
      </c>
    </row>
    <row r="30" customFormat="false" ht="15" hidden="false" customHeight="false" outlineLevel="0" collapsed="false">
      <c r="A30" s="34" t="s">
        <v>197</v>
      </c>
      <c r="B30" s="34"/>
      <c r="C30" s="34"/>
      <c r="D30" s="34"/>
      <c r="E30" s="34"/>
      <c r="F30" s="34"/>
      <c r="G30" s="34"/>
      <c r="H30" s="34"/>
    </row>
    <row r="31" customFormat="false" ht="15" hidden="false" customHeight="false" outlineLevel="0" collapsed="false">
      <c r="A31" s="32" t="s">
        <v>198</v>
      </c>
      <c r="B31" s="32" t="s">
        <v>199</v>
      </c>
      <c r="C31" s="32" t="s">
        <v>23</v>
      </c>
    </row>
    <row r="32" customFormat="false" ht="27.75" hidden="false" customHeight="true" outlineLevel="0" collapsed="false">
      <c r="A32" s="21" t="s">
        <v>200</v>
      </c>
      <c r="B32" s="21" t="s">
        <v>201</v>
      </c>
      <c r="C32" s="21" t="s">
        <v>202</v>
      </c>
    </row>
    <row r="33" customFormat="false" ht="27.75" hidden="false" customHeight="true" outlineLevel="0" collapsed="false">
      <c r="A33" s="24" t="s">
        <v>203</v>
      </c>
      <c r="B33" s="24" t="s">
        <v>204</v>
      </c>
      <c r="C33" s="24" t="s">
        <v>205</v>
      </c>
    </row>
    <row r="34" customFormat="false" ht="27.75" hidden="false" customHeight="true" outlineLevel="0" collapsed="false">
      <c r="A34" s="21" t="s">
        <v>206</v>
      </c>
      <c r="B34" s="21" t="s">
        <v>207</v>
      </c>
      <c r="C34" s="21" t="s">
        <v>208</v>
      </c>
    </row>
    <row r="35" customFormat="false" ht="27.75" hidden="false" customHeight="true" outlineLevel="0" collapsed="false">
      <c r="A35" s="24" t="s">
        <v>209</v>
      </c>
      <c r="B35" s="24" t="s">
        <v>210</v>
      </c>
      <c r="C35" s="24" t="s">
        <v>211</v>
      </c>
    </row>
    <row r="36" customFormat="false" ht="27.75" hidden="false" customHeight="true" outlineLevel="0" collapsed="false">
      <c r="A36" s="21" t="s">
        <v>212</v>
      </c>
      <c r="B36" s="21" t="s">
        <v>213</v>
      </c>
      <c r="C36" s="21" t="s">
        <v>214</v>
      </c>
    </row>
    <row r="37" customFormat="false" ht="27.75" hidden="false" customHeight="true" outlineLevel="0" collapsed="false">
      <c r="A37" s="24" t="s">
        <v>215</v>
      </c>
      <c r="B37" s="24" t="s">
        <v>216</v>
      </c>
      <c r="C37" s="24" t="s">
        <v>217</v>
      </c>
    </row>
    <row r="38" customFormat="false" ht="27.75" hidden="false" customHeight="true" outlineLevel="0" collapsed="false">
      <c r="A38" s="21" t="s">
        <v>218</v>
      </c>
      <c r="B38" s="21" t="s">
        <v>219</v>
      </c>
      <c r="C38" s="21" t="s">
        <v>220</v>
      </c>
    </row>
    <row r="39" customFormat="false" ht="27.75" hidden="false" customHeight="true" outlineLevel="0" collapsed="false">
      <c r="A39" s="24" t="s">
        <v>221</v>
      </c>
      <c r="B39" s="24" t="s">
        <v>222</v>
      </c>
      <c r="C39" s="24" t="s">
        <v>223</v>
      </c>
    </row>
    <row r="40" customFormat="false" ht="27.75" hidden="false" customHeight="true" outlineLevel="0" collapsed="false">
      <c r="A40" s="21" t="s">
        <v>224</v>
      </c>
      <c r="B40" s="21" t="s">
        <v>225</v>
      </c>
      <c r="C40" s="21" t="s">
        <v>226</v>
      </c>
    </row>
    <row r="41" customFormat="false" ht="27.75" hidden="false" customHeight="true" outlineLevel="0" collapsed="false">
      <c r="A41" s="24" t="s">
        <v>227</v>
      </c>
      <c r="B41" s="24" t="s">
        <v>228</v>
      </c>
      <c r="C41" s="24" t="s">
        <v>229</v>
      </c>
    </row>
    <row r="42" customFormat="false" ht="27.75" hidden="false" customHeight="true" outlineLevel="0" collapsed="false">
      <c r="A42" s="21" t="s">
        <v>230</v>
      </c>
      <c r="B42" s="21" t="s">
        <v>231</v>
      </c>
      <c r="C42" s="21" t="s">
        <v>232</v>
      </c>
    </row>
    <row r="43" customFormat="false" ht="27.75" hidden="false" customHeight="true" outlineLevel="0" collapsed="false">
      <c r="A43" s="24" t="s">
        <v>233</v>
      </c>
      <c r="B43" s="24" t="s">
        <v>234</v>
      </c>
      <c r="C43" s="24" t="s">
        <v>235</v>
      </c>
    </row>
    <row r="44" customFormat="false" ht="27.75" hidden="false" customHeight="true" outlineLevel="0" collapsed="false">
      <c r="A44" s="21" t="s">
        <v>236</v>
      </c>
      <c r="B44" s="21" t="s">
        <v>237</v>
      </c>
      <c r="C44" s="21" t="s">
        <v>238</v>
      </c>
    </row>
    <row r="45" customFormat="false" ht="27.75" hidden="false" customHeight="true" outlineLevel="0" collapsed="false">
      <c r="A45" s="24" t="s">
        <v>239</v>
      </c>
      <c r="B45" s="24" t="s">
        <v>240</v>
      </c>
      <c r="C45" s="24" t="s">
        <v>241</v>
      </c>
    </row>
    <row r="46" customFormat="false" ht="27.75" hidden="false" customHeight="true" outlineLevel="0" collapsed="false">
      <c r="A46" s="21" t="s">
        <v>242</v>
      </c>
      <c r="B46" s="21" t="s">
        <v>243</v>
      </c>
      <c r="C46" s="21" t="s">
        <v>244</v>
      </c>
    </row>
    <row r="47" customFormat="false" ht="27.75" hidden="false" customHeight="true" outlineLevel="0" collapsed="false">
      <c r="A47" s="24" t="s">
        <v>245</v>
      </c>
      <c r="B47" s="24" t="s">
        <v>246</v>
      </c>
      <c r="C47" s="24" t="s">
        <v>247</v>
      </c>
    </row>
  </sheetData>
  <mergeCells count="5">
    <mergeCell ref="A1:H1"/>
    <mergeCell ref="A2:H2"/>
    <mergeCell ref="A4:H4"/>
    <mergeCell ref="A17:H17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28"/>
  </cols>
  <sheetData>
    <row r="1" customFormat="false" ht="30" hidden="false" customHeight="true" outlineLevel="0" collapsed="false">
      <c r="A1" s="35" t="s">
        <v>248</v>
      </c>
      <c r="B1" s="35"/>
      <c r="C1" s="35"/>
      <c r="D1" s="35"/>
      <c r="E1" s="35"/>
    </row>
    <row r="3" customFormat="false" ht="21.75" hidden="false" customHeight="true" outlineLevel="0" collapsed="false">
      <c r="A3" s="12" t="s">
        <v>249</v>
      </c>
      <c r="B3" s="12" t="s">
        <v>250</v>
      </c>
      <c r="C3" s="12" t="s">
        <v>251</v>
      </c>
      <c r="D3" s="12" t="s">
        <v>252</v>
      </c>
      <c r="E3" s="12" t="s">
        <v>253</v>
      </c>
    </row>
    <row r="4" customFormat="false" ht="21.75" hidden="false" customHeight="true" outlineLevel="0" collapsed="false">
      <c r="A4" s="36" t="s">
        <v>254</v>
      </c>
      <c r="B4" s="24" t="s">
        <v>255</v>
      </c>
      <c r="C4" s="24" t="s">
        <v>256</v>
      </c>
      <c r="D4" s="24" t="s">
        <v>257</v>
      </c>
      <c r="E4" s="24" t="s">
        <v>258</v>
      </c>
    </row>
    <row r="5" customFormat="false" ht="21.75" hidden="false" customHeight="true" outlineLevel="0" collapsed="false">
      <c r="A5" s="37" t="s">
        <v>259</v>
      </c>
      <c r="B5" s="21" t="s">
        <v>260</v>
      </c>
      <c r="C5" s="21" t="s">
        <v>261</v>
      </c>
      <c r="D5" s="21" t="s">
        <v>262</v>
      </c>
      <c r="E5" s="21" t="s">
        <v>263</v>
      </c>
    </row>
    <row r="6" customFormat="false" ht="21.75" hidden="false" customHeight="true" outlineLevel="0" collapsed="false">
      <c r="A6" s="36" t="s">
        <v>264</v>
      </c>
      <c r="B6" s="24" t="s">
        <v>265</v>
      </c>
      <c r="C6" s="24" t="s">
        <v>266</v>
      </c>
      <c r="D6" s="38" t="s">
        <v>267</v>
      </c>
      <c r="E6" s="24" t="s">
        <v>268</v>
      </c>
    </row>
    <row r="7" customFormat="false" ht="21.75" hidden="false" customHeight="true" outlineLevel="0" collapsed="false">
      <c r="A7" s="37" t="s">
        <v>269</v>
      </c>
      <c r="B7" s="21" t="s">
        <v>270</v>
      </c>
      <c r="C7" s="21" t="s">
        <v>271</v>
      </c>
      <c r="D7" s="21" t="s">
        <v>272</v>
      </c>
      <c r="E7" s="21" t="s">
        <v>268</v>
      </c>
    </row>
    <row r="8" customFormat="false" ht="21.75" hidden="false" customHeight="true" outlineLevel="0" collapsed="false">
      <c r="A8" s="36" t="s">
        <v>273</v>
      </c>
      <c r="B8" s="24" t="s">
        <v>274</v>
      </c>
      <c r="C8" s="24" t="s">
        <v>275</v>
      </c>
      <c r="D8" s="24" t="s">
        <v>276</v>
      </c>
      <c r="E8" s="24" t="s">
        <v>277</v>
      </c>
    </row>
    <row r="9" customFormat="false" ht="21.75" hidden="false" customHeight="true" outlineLevel="0" collapsed="false">
      <c r="A9" s="37" t="s">
        <v>51</v>
      </c>
      <c r="B9" s="21" t="s">
        <v>278</v>
      </c>
      <c r="C9" s="21" t="s">
        <v>279</v>
      </c>
      <c r="D9" s="21" t="s">
        <v>280</v>
      </c>
      <c r="E9" s="21" t="s">
        <v>277</v>
      </c>
    </row>
    <row r="10" customFormat="false" ht="21.75" hidden="false" customHeight="true" outlineLevel="0" collapsed="false">
      <c r="A10" s="36" t="s">
        <v>281</v>
      </c>
      <c r="B10" s="24" t="s">
        <v>282</v>
      </c>
      <c r="C10" s="24" t="s">
        <v>283</v>
      </c>
      <c r="D10" s="24" t="s">
        <v>284</v>
      </c>
      <c r="E10" s="24" t="s">
        <v>285</v>
      </c>
    </row>
    <row r="11" customFormat="false" ht="21.75" hidden="false" customHeight="true" outlineLevel="0" collapsed="false">
      <c r="A11" s="37" t="s">
        <v>286</v>
      </c>
      <c r="B11" s="21" t="s">
        <v>287</v>
      </c>
      <c r="C11" s="21" t="s">
        <v>288</v>
      </c>
      <c r="D11" s="21" t="s">
        <v>289</v>
      </c>
      <c r="E11" s="21" t="s">
        <v>290</v>
      </c>
    </row>
    <row r="12" customFormat="false" ht="21.75" hidden="false" customHeight="true" outlineLevel="0" collapsed="false">
      <c r="A12" s="36" t="s">
        <v>291</v>
      </c>
      <c r="B12" s="24" t="s">
        <v>292</v>
      </c>
      <c r="C12" s="24" t="s">
        <v>293</v>
      </c>
      <c r="D12" s="24" t="s">
        <v>294</v>
      </c>
      <c r="E12" s="24" t="s">
        <v>295</v>
      </c>
    </row>
    <row r="13" customFormat="false" ht="21.75" hidden="false" customHeight="true" outlineLevel="0" collapsed="false">
      <c r="A13" s="37" t="s">
        <v>296</v>
      </c>
      <c r="B13" s="21" t="s">
        <v>297</v>
      </c>
      <c r="C13" s="21" t="s">
        <v>298</v>
      </c>
      <c r="D13" s="21" t="s">
        <v>179</v>
      </c>
      <c r="E13" s="21" t="s">
        <v>299</v>
      </c>
    </row>
    <row r="14" customFormat="false" ht="21.75" hidden="false" customHeight="true" outlineLevel="0" collapsed="false">
      <c r="A14" s="36" t="s">
        <v>300</v>
      </c>
      <c r="B14" s="24" t="s">
        <v>301</v>
      </c>
      <c r="C14" s="24" t="s">
        <v>302</v>
      </c>
      <c r="D14" s="24" t="s">
        <v>303</v>
      </c>
      <c r="E14" s="24" t="s">
        <v>304</v>
      </c>
    </row>
    <row r="15" customFormat="false" ht="21.75" hidden="false" customHeight="true" outlineLevel="0" collapsed="false">
      <c r="A15" s="37" t="s">
        <v>54</v>
      </c>
      <c r="B15" s="21" t="s">
        <v>305</v>
      </c>
      <c r="C15" s="21" t="s">
        <v>306</v>
      </c>
      <c r="D15" s="21" t="s">
        <v>307</v>
      </c>
      <c r="E15" s="21" t="s">
        <v>308</v>
      </c>
    </row>
    <row r="16" customFormat="false" ht="21.75" hidden="false" customHeight="true" outlineLevel="0" collapsed="false">
      <c r="A16" s="36" t="s">
        <v>55</v>
      </c>
      <c r="B16" s="24" t="s">
        <v>309</v>
      </c>
      <c r="C16" s="24" t="s">
        <v>310</v>
      </c>
      <c r="D16" s="24" t="s">
        <v>311</v>
      </c>
      <c r="E16" s="24" t="s">
        <v>312</v>
      </c>
    </row>
    <row r="17" customFormat="false" ht="21.75" hidden="false" customHeight="true" outlineLevel="0" collapsed="false">
      <c r="A17" s="37" t="s">
        <v>313</v>
      </c>
      <c r="B17" s="21" t="s">
        <v>161</v>
      </c>
      <c r="C17" s="21" t="s">
        <v>314</v>
      </c>
      <c r="D17" s="21" t="s">
        <v>315</v>
      </c>
      <c r="E17" s="21" t="s">
        <v>151</v>
      </c>
    </row>
    <row r="18" customFormat="false" ht="21.75" hidden="false" customHeight="true" outlineLevel="0" collapsed="false">
      <c r="A18" s="36" t="s">
        <v>316</v>
      </c>
      <c r="B18" s="24" t="s">
        <v>161</v>
      </c>
      <c r="C18" s="24" t="s">
        <v>146</v>
      </c>
      <c r="D18" s="24" t="s">
        <v>317</v>
      </c>
      <c r="E18" s="24" t="s">
        <v>131</v>
      </c>
    </row>
    <row r="19" customFormat="false" ht="21.75" hidden="false" customHeight="true" outlineLevel="0" collapsed="false">
      <c r="A19" s="37" t="s">
        <v>318</v>
      </c>
      <c r="B19" s="21" t="s">
        <v>161</v>
      </c>
      <c r="C19" s="21" t="s">
        <v>319</v>
      </c>
      <c r="D19" s="21"/>
      <c r="E19" s="21" t="s">
        <v>131</v>
      </c>
    </row>
    <row r="20" customFormat="false" ht="21.75" hidden="false" customHeight="true" outlineLevel="0" collapsed="false">
      <c r="A20" s="36" t="s">
        <v>320</v>
      </c>
      <c r="B20" s="24" t="s">
        <v>321</v>
      </c>
      <c r="C20" s="24" t="s">
        <v>322</v>
      </c>
      <c r="D20" s="24" t="s">
        <v>323</v>
      </c>
      <c r="E20" s="24" t="s">
        <v>324</v>
      </c>
    </row>
    <row r="21" customFormat="false" ht="21.75" hidden="false" customHeight="true" outlineLevel="0" collapsed="false">
      <c r="A21" s="37" t="s">
        <v>325</v>
      </c>
      <c r="B21" s="21" t="s">
        <v>326</v>
      </c>
      <c r="C21" s="21" t="s">
        <v>327</v>
      </c>
      <c r="D21" s="21" t="s">
        <v>328</v>
      </c>
      <c r="E21" s="21" t="s">
        <v>329</v>
      </c>
    </row>
    <row r="22" customFormat="false" ht="21.75" hidden="false" customHeight="true" outlineLevel="0" collapsed="false">
      <c r="A22" s="36" t="s">
        <v>330</v>
      </c>
      <c r="B22" s="24" t="s">
        <v>331</v>
      </c>
      <c r="C22" s="24" t="s">
        <v>332</v>
      </c>
      <c r="D22" s="24"/>
      <c r="E22" s="24" t="s">
        <v>333</v>
      </c>
    </row>
    <row r="23" customFormat="false" ht="21.75" hidden="false" customHeight="true" outlineLevel="0" collapsed="false">
      <c r="A23" s="37" t="s">
        <v>334</v>
      </c>
      <c r="B23" s="21" t="s">
        <v>335</v>
      </c>
      <c r="C23" s="21" t="s">
        <v>336</v>
      </c>
      <c r="D23" s="21" t="s">
        <v>337</v>
      </c>
      <c r="E23" s="21" t="s">
        <v>44</v>
      </c>
    </row>
    <row r="24" customFormat="false" ht="21.75" hidden="false" customHeight="true" outlineLevel="0" collapsed="false">
      <c r="A24" s="36" t="s">
        <v>338</v>
      </c>
      <c r="B24" s="24" t="s">
        <v>339</v>
      </c>
      <c r="C24" s="24" t="s">
        <v>340</v>
      </c>
      <c r="D24" s="24" t="s">
        <v>341</v>
      </c>
      <c r="E24" s="24" t="s">
        <v>186</v>
      </c>
    </row>
    <row r="25" customFormat="false" ht="21.75" hidden="false" customHeight="true" outlineLevel="0" collapsed="false">
      <c r="A25" s="37" t="s">
        <v>342</v>
      </c>
      <c r="B25" s="21" t="s">
        <v>343</v>
      </c>
      <c r="C25" s="21" t="s">
        <v>344</v>
      </c>
      <c r="D25" s="21"/>
      <c r="E25" s="21" t="s">
        <v>263</v>
      </c>
    </row>
    <row r="26" customFormat="false" ht="21.75" hidden="false" customHeight="true" outlineLevel="0" collapsed="false">
      <c r="A26" s="36" t="s">
        <v>345</v>
      </c>
      <c r="B26" s="24" t="s">
        <v>346</v>
      </c>
      <c r="C26" s="24" t="s">
        <v>347</v>
      </c>
      <c r="D26" s="24" t="s">
        <v>348</v>
      </c>
      <c r="E26" s="24" t="s">
        <v>349</v>
      </c>
    </row>
    <row r="27" customFormat="false" ht="21.75" hidden="false" customHeight="true" outlineLevel="0" collapsed="false">
      <c r="A27" s="37" t="s">
        <v>350</v>
      </c>
      <c r="B27" s="21" t="s">
        <v>351</v>
      </c>
      <c r="C27" s="21" t="s">
        <v>352</v>
      </c>
      <c r="D27" s="21" t="s">
        <v>353</v>
      </c>
      <c r="E27" s="21" t="s">
        <v>354</v>
      </c>
    </row>
    <row r="28" customFormat="false" ht="21.75" hidden="false" customHeight="true" outlineLevel="0" collapsed="false">
      <c r="A28" s="36" t="s">
        <v>355</v>
      </c>
      <c r="B28" s="24" t="s">
        <v>356</v>
      </c>
      <c r="C28" s="24" t="s">
        <v>357</v>
      </c>
      <c r="D28" s="24" t="s">
        <v>358</v>
      </c>
      <c r="E28" s="24" t="s">
        <v>359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3" min="3" style="0" width="42"/>
    <col collapsed="false" customWidth="true" hidden="false" outlineLevel="0" max="4" min="4" style="0" width="28"/>
  </cols>
  <sheetData>
    <row r="1" customFormat="false" ht="30" hidden="false" customHeight="true" outlineLevel="0" collapsed="false">
      <c r="A1" s="39" t="s">
        <v>360</v>
      </c>
      <c r="B1" s="39"/>
      <c r="C1" s="39"/>
      <c r="D1" s="39"/>
    </row>
    <row r="2" customFormat="false" ht="21.75" hidden="false" customHeight="true" outlineLevel="0" collapsed="false">
      <c r="A2" s="2" t="s">
        <v>361</v>
      </c>
      <c r="B2" s="2"/>
      <c r="C2" s="2"/>
      <c r="D2" s="2"/>
    </row>
    <row r="4" customFormat="false" ht="18" hidden="false" customHeight="true" outlineLevel="0" collapsed="false">
      <c r="A4" s="12" t="s">
        <v>362</v>
      </c>
      <c r="B4" s="12" t="s">
        <v>363</v>
      </c>
      <c r="C4" s="12" t="s">
        <v>364</v>
      </c>
      <c r="D4" s="12" t="s">
        <v>365</v>
      </c>
    </row>
    <row r="5" customFormat="false" ht="84.75" hidden="false" customHeight="true" outlineLevel="0" collapsed="false">
      <c r="A5" s="40" t="s">
        <v>366</v>
      </c>
      <c r="B5" s="36" t="s">
        <v>367</v>
      </c>
      <c r="C5" s="24" t="s">
        <v>368</v>
      </c>
      <c r="D5" s="24" t="s">
        <v>369</v>
      </c>
    </row>
    <row r="6" customFormat="false" ht="84.75" hidden="false" customHeight="true" outlineLevel="0" collapsed="false">
      <c r="A6" s="41" t="s">
        <v>370</v>
      </c>
      <c r="B6" s="37" t="s">
        <v>371</v>
      </c>
      <c r="C6" s="21" t="s">
        <v>372</v>
      </c>
      <c r="D6" s="21" t="s">
        <v>373</v>
      </c>
    </row>
    <row r="7" customFormat="false" ht="84.75" hidden="false" customHeight="true" outlineLevel="0" collapsed="false">
      <c r="A7" s="40" t="s">
        <v>374</v>
      </c>
      <c r="B7" s="36" t="s">
        <v>375</v>
      </c>
      <c r="C7" s="24" t="s">
        <v>376</v>
      </c>
      <c r="D7" s="24" t="s">
        <v>377</v>
      </c>
    </row>
    <row r="8" customFormat="false" ht="84.75" hidden="false" customHeight="true" outlineLevel="0" collapsed="false">
      <c r="A8" s="41" t="s">
        <v>378</v>
      </c>
      <c r="B8" s="37" t="s">
        <v>379</v>
      </c>
      <c r="C8" s="21" t="s">
        <v>380</v>
      </c>
      <c r="D8" s="21" t="s">
        <v>381</v>
      </c>
    </row>
    <row r="9" customFormat="false" ht="84.75" hidden="false" customHeight="true" outlineLevel="0" collapsed="false">
      <c r="A9" s="40" t="s">
        <v>382</v>
      </c>
      <c r="B9" s="36" t="s">
        <v>383</v>
      </c>
      <c r="C9" s="24" t="s">
        <v>384</v>
      </c>
      <c r="D9" s="24" t="s">
        <v>385</v>
      </c>
    </row>
    <row r="10" customFormat="false" ht="84.75" hidden="false" customHeight="true" outlineLevel="0" collapsed="false">
      <c r="A10" s="41" t="s">
        <v>386</v>
      </c>
      <c r="B10" s="37" t="s">
        <v>387</v>
      </c>
      <c r="C10" s="21" t="s">
        <v>388</v>
      </c>
      <c r="D10" s="21" t="s">
        <v>389</v>
      </c>
    </row>
    <row r="11" customFormat="false" ht="84.75" hidden="false" customHeight="true" outlineLevel="0" collapsed="false">
      <c r="A11" s="40" t="s">
        <v>390</v>
      </c>
      <c r="B11" s="36" t="s">
        <v>391</v>
      </c>
      <c r="C11" s="24" t="s">
        <v>392</v>
      </c>
      <c r="D11" s="24" t="s">
        <v>393</v>
      </c>
    </row>
    <row r="12" customFormat="false" ht="84.75" hidden="false" customHeight="true" outlineLevel="0" collapsed="false">
      <c r="A12" s="41" t="s">
        <v>394</v>
      </c>
      <c r="B12" s="37" t="s">
        <v>395</v>
      </c>
      <c r="C12" s="21" t="s">
        <v>396</v>
      </c>
      <c r="D12" s="21" t="s">
        <v>397</v>
      </c>
    </row>
    <row r="13" customFormat="false" ht="84.75" hidden="false" customHeight="true" outlineLevel="0" collapsed="false">
      <c r="A13" s="40" t="s">
        <v>398</v>
      </c>
      <c r="B13" s="36" t="s">
        <v>399</v>
      </c>
      <c r="C13" s="24" t="s">
        <v>400</v>
      </c>
      <c r="D13" s="24" t="s">
        <v>401</v>
      </c>
    </row>
    <row r="14" customFormat="false" ht="84.75" hidden="false" customHeight="true" outlineLevel="0" collapsed="false">
      <c r="A14" s="41" t="s">
        <v>402</v>
      </c>
      <c r="B14" s="37" t="s">
        <v>403</v>
      </c>
      <c r="C14" s="21" t="s">
        <v>404</v>
      </c>
      <c r="D14" s="21" t="s">
        <v>405</v>
      </c>
    </row>
    <row r="15" customFormat="false" ht="84.75" hidden="false" customHeight="true" outlineLevel="0" collapsed="false">
      <c r="A15" s="40" t="s">
        <v>406</v>
      </c>
      <c r="B15" s="36" t="s">
        <v>407</v>
      </c>
      <c r="C15" s="24" t="s">
        <v>408</v>
      </c>
      <c r="D15" s="24" t="s">
        <v>409</v>
      </c>
    </row>
    <row r="18" customFormat="false" ht="24.75" hidden="false" customHeight="true" outlineLevel="0" collapsed="false">
      <c r="A18" s="42" t="s">
        <v>410</v>
      </c>
      <c r="B18" s="42"/>
      <c r="C18" s="42"/>
      <c r="D18" s="42"/>
    </row>
    <row r="19" customFormat="false" ht="15" hidden="false" customHeight="false" outlineLevel="0" collapsed="false">
      <c r="A19" s="12" t="s">
        <v>411</v>
      </c>
      <c r="B19" s="12" t="s">
        <v>412</v>
      </c>
      <c r="C19" s="12" t="s">
        <v>413</v>
      </c>
      <c r="D19" s="12" t="s">
        <v>414</v>
      </c>
    </row>
    <row r="20" customFormat="false" ht="34.5" hidden="false" customHeight="true" outlineLevel="0" collapsed="false">
      <c r="A20" s="21" t="s">
        <v>415</v>
      </c>
      <c r="B20" s="21" t="s">
        <v>416</v>
      </c>
      <c r="C20" s="21" t="s">
        <v>417</v>
      </c>
      <c r="D20" s="21" t="s">
        <v>418</v>
      </c>
    </row>
    <row r="21" customFormat="false" ht="34.5" hidden="false" customHeight="true" outlineLevel="0" collapsed="false">
      <c r="A21" s="24" t="s">
        <v>419</v>
      </c>
      <c r="B21" s="24" t="s">
        <v>416</v>
      </c>
      <c r="C21" s="24" t="s">
        <v>420</v>
      </c>
      <c r="D21" s="24" t="s">
        <v>421</v>
      </c>
    </row>
    <row r="22" customFormat="false" ht="34.5" hidden="false" customHeight="true" outlineLevel="0" collapsed="false">
      <c r="A22" s="21" t="s">
        <v>422</v>
      </c>
      <c r="B22" s="21" t="s">
        <v>423</v>
      </c>
      <c r="C22" s="21" t="s">
        <v>424</v>
      </c>
      <c r="D22" s="21" t="s">
        <v>425</v>
      </c>
    </row>
    <row r="23" customFormat="false" ht="34.5" hidden="false" customHeight="true" outlineLevel="0" collapsed="false">
      <c r="A23" s="24" t="s">
        <v>426</v>
      </c>
      <c r="B23" s="24" t="s">
        <v>427</v>
      </c>
      <c r="C23" s="24" t="s">
        <v>428</v>
      </c>
      <c r="D23" s="24" t="s">
        <v>429</v>
      </c>
    </row>
    <row r="24" customFormat="false" ht="34.5" hidden="false" customHeight="true" outlineLevel="0" collapsed="false">
      <c r="A24" s="21" t="s">
        <v>430</v>
      </c>
      <c r="B24" s="21" t="s">
        <v>431</v>
      </c>
      <c r="C24" s="21" t="s">
        <v>432</v>
      </c>
      <c r="D24" s="21" t="s">
        <v>433</v>
      </c>
    </row>
    <row r="25" customFormat="false" ht="34.5" hidden="false" customHeight="true" outlineLevel="0" collapsed="false">
      <c r="A25" s="24" t="s">
        <v>434</v>
      </c>
      <c r="B25" s="24" t="s">
        <v>435</v>
      </c>
      <c r="C25" s="24" t="s">
        <v>436</v>
      </c>
      <c r="D25" s="24" t="s">
        <v>437</v>
      </c>
    </row>
    <row r="26" customFormat="false" ht="34.5" hidden="false" customHeight="true" outlineLevel="0" collapsed="false">
      <c r="A26" s="21" t="s">
        <v>438</v>
      </c>
      <c r="B26" s="21" t="s">
        <v>439</v>
      </c>
      <c r="C26" s="21" t="s">
        <v>440</v>
      </c>
      <c r="D26" s="21" t="s">
        <v>441</v>
      </c>
    </row>
    <row r="27" customFormat="false" ht="34.5" hidden="false" customHeight="true" outlineLevel="0" collapsed="false">
      <c r="A27" s="24" t="s">
        <v>442</v>
      </c>
      <c r="B27" s="24" t="s">
        <v>443</v>
      </c>
      <c r="C27" s="24" t="s">
        <v>444</v>
      </c>
      <c r="D27" s="24" t="s">
        <v>445</v>
      </c>
    </row>
    <row r="28" customFormat="false" ht="34.5" hidden="false" customHeight="true" outlineLevel="0" collapsed="false">
      <c r="A28" s="21" t="s">
        <v>446</v>
      </c>
      <c r="B28" s="21" t="s">
        <v>447</v>
      </c>
      <c r="C28" s="21" t="s">
        <v>448</v>
      </c>
      <c r="D28" s="21" t="s">
        <v>449</v>
      </c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14" min="4" style="0" width="14"/>
    <col collapsed="false" customWidth="true" hidden="false" outlineLevel="0" max="15" min="15" style="0" width="20"/>
  </cols>
  <sheetData>
    <row r="1" customFormat="false" ht="27.75" hidden="false" customHeight="true" outlineLevel="0" collapsed="false">
      <c r="A1" s="43" t="s">
        <v>450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customFormat="false" ht="30" hidden="false" customHeight="true" outlineLevel="0" collapsed="false">
      <c r="A2" s="18" t="s">
        <v>451</v>
      </c>
      <c r="B2" s="18" t="s">
        <v>452</v>
      </c>
      <c r="C2" s="18" t="s">
        <v>453</v>
      </c>
      <c r="D2" s="18" t="s">
        <v>454</v>
      </c>
      <c r="E2" s="18" t="s">
        <v>455</v>
      </c>
      <c r="F2" s="18" t="s">
        <v>456</v>
      </c>
      <c r="G2" s="18" t="s">
        <v>457</v>
      </c>
      <c r="H2" s="18" t="s">
        <v>458</v>
      </c>
      <c r="I2" s="18" t="s">
        <v>459</v>
      </c>
      <c r="J2" s="18" t="s">
        <v>460</v>
      </c>
      <c r="K2" s="18" t="s">
        <v>461</v>
      </c>
      <c r="L2" s="18" t="s">
        <v>462</v>
      </c>
      <c r="M2" s="18" t="s">
        <v>463</v>
      </c>
      <c r="N2" s="18" t="s">
        <v>464</v>
      </c>
      <c r="O2" s="18" t="s">
        <v>465</v>
      </c>
    </row>
    <row r="3" customFormat="false" ht="15.75" hidden="false" customHeight="true" outlineLevel="0" collapsed="false">
      <c r="A3" s="44" t="n">
        <v>1</v>
      </c>
      <c r="B3" s="44" t="n">
        <v>1</v>
      </c>
      <c r="C3" s="44" t="s">
        <v>466</v>
      </c>
      <c r="D3" s="45" t="n">
        <v>100</v>
      </c>
      <c r="E3" s="45" t="n">
        <v>1</v>
      </c>
      <c r="F3" s="45" t="n">
        <v>0</v>
      </c>
      <c r="G3" s="45" t="n">
        <v>200</v>
      </c>
      <c r="H3" s="44" t="n">
        <v>0.97</v>
      </c>
      <c r="I3" s="45" t="n">
        <v>0</v>
      </c>
      <c r="J3" s="45" t="n">
        <v>1</v>
      </c>
      <c r="K3" s="45" t="n">
        <v>1</v>
      </c>
      <c r="L3" s="45" t="n">
        <v>203</v>
      </c>
      <c r="M3" s="45" t="n">
        <v>570</v>
      </c>
      <c r="N3" s="45" t="n">
        <v>0</v>
      </c>
      <c r="O3" s="45" t="n">
        <v>3</v>
      </c>
    </row>
    <row r="4" customFormat="false" ht="15.75" hidden="false" customHeight="true" outlineLevel="0" collapsed="false">
      <c r="A4" s="46" t="n">
        <v>1</v>
      </c>
      <c r="B4" s="46" t="n">
        <v>2</v>
      </c>
      <c r="C4" s="46" t="s">
        <v>467</v>
      </c>
      <c r="D4" s="47" t="n">
        <v>35</v>
      </c>
      <c r="E4" s="47" t="n">
        <v>0</v>
      </c>
      <c r="F4" s="47" t="n">
        <v>0</v>
      </c>
      <c r="G4" s="47" t="n">
        <v>50</v>
      </c>
      <c r="H4" s="46" t="n">
        <v>0.96</v>
      </c>
      <c r="I4" s="47" t="n">
        <v>0</v>
      </c>
      <c r="J4" s="47" t="n">
        <v>1</v>
      </c>
      <c r="K4" s="47" t="n">
        <v>1</v>
      </c>
      <c r="L4" s="47" t="n">
        <v>78</v>
      </c>
      <c r="M4" s="47" t="n">
        <v>200</v>
      </c>
      <c r="N4" s="47" t="n">
        <v>203</v>
      </c>
      <c r="O4" s="47" t="n">
        <v>3</v>
      </c>
    </row>
    <row r="5" customFormat="false" ht="15.75" hidden="false" customHeight="true" outlineLevel="0" collapsed="false">
      <c r="A5" s="44" t="n">
        <v>1</v>
      </c>
      <c r="B5" s="44" t="n">
        <v>3</v>
      </c>
      <c r="C5" s="44" t="s">
        <v>468</v>
      </c>
      <c r="D5" s="45" t="n">
        <v>45</v>
      </c>
      <c r="E5" s="45" t="n">
        <v>1</v>
      </c>
      <c r="F5" s="45" t="n">
        <v>80</v>
      </c>
      <c r="G5" s="45" t="n">
        <v>60</v>
      </c>
      <c r="H5" s="44" t="n">
        <v>0.95</v>
      </c>
      <c r="I5" s="45" t="n">
        <v>0</v>
      </c>
      <c r="J5" s="45" t="n">
        <v>0</v>
      </c>
      <c r="K5" s="45" t="n">
        <v>1</v>
      </c>
      <c r="L5" s="45" t="n">
        <v>121</v>
      </c>
      <c r="M5" s="45" t="n">
        <v>330</v>
      </c>
      <c r="N5" s="45" t="n">
        <v>78</v>
      </c>
      <c r="O5" s="45" t="n">
        <v>4</v>
      </c>
    </row>
    <row r="6" customFormat="false" ht="15.75" hidden="false" customHeight="true" outlineLevel="0" collapsed="false">
      <c r="A6" s="46" t="n">
        <v>1</v>
      </c>
      <c r="B6" s="46" t="n">
        <v>4</v>
      </c>
      <c r="C6" s="46" t="s">
        <v>469</v>
      </c>
      <c r="D6" s="47" t="n">
        <v>40</v>
      </c>
      <c r="E6" s="47" t="n">
        <v>0</v>
      </c>
      <c r="F6" s="47" t="n">
        <v>120</v>
      </c>
      <c r="G6" s="47" t="n">
        <v>40</v>
      </c>
      <c r="H6" s="46" t="n">
        <v>0.94</v>
      </c>
      <c r="I6" s="47" t="n">
        <v>0</v>
      </c>
      <c r="J6" s="47" t="n">
        <v>1</v>
      </c>
      <c r="K6" s="47" t="n">
        <v>1</v>
      </c>
      <c r="L6" s="47" t="n">
        <v>56</v>
      </c>
      <c r="M6" s="47" t="n">
        <v>180</v>
      </c>
      <c r="N6" s="47" t="n">
        <v>121</v>
      </c>
      <c r="O6" s="47" t="n">
        <v>4</v>
      </c>
    </row>
    <row r="7" customFormat="false" ht="15.75" hidden="false" customHeight="true" outlineLevel="0" collapsed="false">
      <c r="A7" s="44" t="n">
        <v>1</v>
      </c>
      <c r="B7" s="44" t="n">
        <v>5</v>
      </c>
      <c r="C7" s="44" t="s">
        <v>470</v>
      </c>
      <c r="D7" s="45" t="n">
        <v>30</v>
      </c>
      <c r="E7" s="45" t="n">
        <v>0</v>
      </c>
      <c r="F7" s="45" t="n">
        <v>60</v>
      </c>
      <c r="G7" s="45" t="n">
        <v>30</v>
      </c>
      <c r="H7" s="44" t="n">
        <v>0.95</v>
      </c>
      <c r="I7" s="45" t="n">
        <v>0</v>
      </c>
      <c r="J7" s="45" t="n">
        <v>1</v>
      </c>
      <c r="K7" s="45" t="n">
        <v>1</v>
      </c>
      <c r="L7" s="45" t="n">
        <v>45</v>
      </c>
      <c r="M7" s="45" t="n">
        <v>120</v>
      </c>
      <c r="N7" s="45" t="n">
        <v>56</v>
      </c>
      <c r="O7" s="45" t="n">
        <v>3</v>
      </c>
    </row>
    <row r="8" customFormat="false" ht="15.75" hidden="false" customHeight="true" outlineLevel="0" collapsed="false">
      <c r="A8" s="46" t="n">
        <v>1</v>
      </c>
      <c r="B8" s="46" t="n">
        <v>6</v>
      </c>
      <c r="C8" s="46" t="s">
        <v>471</v>
      </c>
      <c r="D8" s="47" t="n">
        <v>50</v>
      </c>
      <c r="E8" s="47" t="n">
        <v>1</v>
      </c>
      <c r="F8" s="47" t="n">
        <v>100</v>
      </c>
      <c r="G8" s="47" t="n">
        <v>80</v>
      </c>
      <c r="H8" s="46" t="n">
        <v>0.93</v>
      </c>
      <c r="I8" s="47" t="n">
        <v>0</v>
      </c>
      <c r="J8" s="47" t="n">
        <v>0</v>
      </c>
      <c r="K8" s="47" t="n">
        <v>1</v>
      </c>
      <c r="L8" s="47" t="n">
        <v>60</v>
      </c>
      <c r="M8" s="47" t="n">
        <v>150</v>
      </c>
      <c r="N8" s="47" t="n">
        <v>45</v>
      </c>
      <c r="O8" s="47" t="n">
        <v>4</v>
      </c>
    </row>
    <row r="9" customFormat="false" ht="15.75" hidden="false" customHeight="true" outlineLevel="0" collapsed="false">
      <c r="A9" s="44" t="n">
        <v>1</v>
      </c>
      <c r="B9" s="44" t="n">
        <v>7</v>
      </c>
      <c r="C9" s="44" t="s">
        <v>472</v>
      </c>
      <c r="D9" s="45" t="n">
        <v>25</v>
      </c>
      <c r="E9" s="45" t="n">
        <v>0</v>
      </c>
      <c r="F9" s="45" t="n">
        <v>50</v>
      </c>
      <c r="G9" s="45" t="n">
        <v>30</v>
      </c>
      <c r="H9" s="44" t="n">
        <v>0.95</v>
      </c>
      <c r="I9" s="45" t="n">
        <v>0</v>
      </c>
      <c r="J9" s="45" t="n">
        <v>0</v>
      </c>
      <c r="K9" s="45" t="n">
        <v>1</v>
      </c>
      <c r="L9" s="45" t="n">
        <v>38</v>
      </c>
      <c r="M9" s="45" t="n">
        <v>95</v>
      </c>
      <c r="N9" s="45" t="n">
        <v>60</v>
      </c>
      <c r="O9" s="45" t="n">
        <v>3</v>
      </c>
    </row>
    <row r="10" customFormat="false" ht="15.75" hidden="false" customHeight="true" outlineLevel="0" collapsed="false">
      <c r="A10" s="46" t="n">
        <v>1</v>
      </c>
      <c r="B10" s="46" t="n">
        <v>8</v>
      </c>
      <c r="C10" s="46" t="s">
        <v>473</v>
      </c>
      <c r="D10" s="47" t="n">
        <v>40</v>
      </c>
      <c r="E10" s="47" t="n">
        <v>1</v>
      </c>
      <c r="F10" s="47" t="n">
        <v>60</v>
      </c>
      <c r="G10" s="47" t="n">
        <v>50</v>
      </c>
      <c r="H10" s="46" t="n">
        <v>0.94</v>
      </c>
      <c r="I10" s="47" t="n">
        <v>0</v>
      </c>
      <c r="J10" s="47" t="n">
        <v>0</v>
      </c>
      <c r="K10" s="47" t="n">
        <v>1</v>
      </c>
      <c r="L10" s="47" t="n">
        <v>70</v>
      </c>
      <c r="M10" s="47" t="n">
        <v>210</v>
      </c>
      <c r="N10" s="47" t="n">
        <v>38</v>
      </c>
      <c r="O10" s="47" t="n">
        <v>4</v>
      </c>
    </row>
    <row r="11" customFormat="false" ht="15.75" hidden="false" customHeight="true" outlineLevel="0" collapsed="false">
      <c r="A11" s="44" t="n">
        <v>1</v>
      </c>
      <c r="B11" s="44" t="n">
        <v>9</v>
      </c>
      <c r="C11" s="44" t="s">
        <v>474</v>
      </c>
      <c r="D11" s="45" t="n">
        <v>30</v>
      </c>
      <c r="E11" s="45" t="n">
        <v>0</v>
      </c>
      <c r="F11" s="45" t="n">
        <v>30</v>
      </c>
      <c r="G11" s="45" t="n">
        <v>30</v>
      </c>
      <c r="H11" s="44" t="n">
        <v>0.96</v>
      </c>
      <c r="I11" s="45" t="n">
        <v>0</v>
      </c>
      <c r="J11" s="45" t="n">
        <v>0</v>
      </c>
      <c r="K11" s="45" t="n">
        <v>1</v>
      </c>
      <c r="L11" s="45" t="n">
        <v>50</v>
      </c>
      <c r="M11" s="45" t="n">
        <v>130</v>
      </c>
      <c r="N11" s="45" t="n">
        <v>70</v>
      </c>
      <c r="O11" s="45" t="n">
        <v>3</v>
      </c>
    </row>
    <row r="12" customFormat="false" ht="15.75" hidden="false" customHeight="true" outlineLevel="0" collapsed="false">
      <c r="A12" s="46" t="n">
        <v>1</v>
      </c>
      <c r="B12" s="46" t="n">
        <v>10</v>
      </c>
      <c r="C12" s="46" t="s">
        <v>475</v>
      </c>
      <c r="D12" s="47" t="n">
        <v>60</v>
      </c>
      <c r="E12" s="47" t="n">
        <v>1</v>
      </c>
      <c r="F12" s="47" t="n">
        <v>80</v>
      </c>
      <c r="G12" s="47" t="n">
        <v>40</v>
      </c>
      <c r="H12" s="46" t="n">
        <v>0.97</v>
      </c>
      <c r="I12" s="47" t="n">
        <v>0</v>
      </c>
      <c r="J12" s="47" t="n">
        <v>0</v>
      </c>
      <c r="K12" s="47" t="n">
        <v>2</v>
      </c>
      <c r="L12" s="47" t="n">
        <v>100</v>
      </c>
      <c r="M12" s="47" t="n">
        <v>280</v>
      </c>
      <c r="N12" s="47" t="n">
        <v>50</v>
      </c>
      <c r="O12" s="47" t="n">
        <v>5</v>
      </c>
    </row>
    <row r="13" customFormat="false" ht="15.75" hidden="false" customHeight="true" outlineLevel="0" collapsed="false">
      <c r="A13" s="44" t="n">
        <v>1</v>
      </c>
      <c r="B13" s="44" t="n">
        <v>11</v>
      </c>
      <c r="C13" s="44" t="s">
        <v>476</v>
      </c>
      <c r="D13" s="45" t="n">
        <v>45</v>
      </c>
      <c r="E13" s="45" t="n">
        <v>1</v>
      </c>
      <c r="F13" s="45" t="n">
        <v>40</v>
      </c>
      <c r="G13" s="45" t="n">
        <v>35</v>
      </c>
      <c r="H13" s="44" t="n">
        <v>0.96</v>
      </c>
      <c r="I13" s="45" t="n">
        <v>0</v>
      </c>
      <c r="J13" s="45" t="n">
        <v>0</v>
      </c>
      <c r="K13" s="45" t="n">
        <v>2</v>
      </c>
      <c r="L13" s="45" t="n">
        <v>65</v>
      </c>
      <c r="M13" s="45" t="n">
        <v>170</v>
      </c>
      <c r="N13" s="45" t="n">
        <v>100</v>
      </c>
      <c r="O13" s="45" t="n">
        <v>4</v>
      </c>
    </row>
    <row r="14" customFormat="false" ht="15.75" hidden="false" customHeight="true" outlineLevel="0" collapsed="false">
      <c r="A14" s="46" t="n">
        <v>1</v>
      </c>
      <c r="B14" s="46" t="n">
        <v>12</v>
      </c>
      <c r="C14" s="46" t="s">
        <v>477</v>
      </c>
      <c r="D14" s="47" t="n">
        <v>35</v>
      </c>
      <c r="E14" s="47" t="n">
        <v>1</v>
      </c>
      <c r="F14" s="47" t="n">
        <v>20</v>
      </c>
      <c r="G14" s="47" t="n">
        <v>25</v>
      </c>
      <c r="H14" s="46" t="n">
        <v>0.97</v>
      </c>
      <c r="I14" s="47" t="n">
        <v>0</v>
      </c>
      <c r="J14" s="47" t="n">
        <v>0</v>
      </c>
      <c r="K14" s="47" t="n">
        <v>2</v>
      </c>
      <c r="L14" s="47" t="n">
        <v>104</v>
      </c>
      <c r="M14" s="47" t="n">
        <v>300</v>
      </c>
      <c r="N14" s="47" t="n">
        <v>65</v>
      </c>
      <c r="O14" s="47" t="n">
        <v>3</v>
      </c>
    </row>
    <row r="15" customFormat="false" ht="15.75" hidden="false" customHeight="true" outlineLevel="0" collapsed="false">
      <c r="A15" s="44" t="n">
        <v>2</v>
      </c>
      <c r="B15" s="44" t="n">
        <v>1</v>
      </c>
      <c r="C15" s="44" t="s">
        <v>478</v>
      </c>
      <c r="D15" s="45" t="n">
        <v>1000</v>
      </c>
      <c r="E15" s="45" t="n">
        <v>1</v>
      </c>
      <c r="F15" s="45" t="n">
        <v>0</v>
      </c>
      <c r="G15" s="45" t="n">
        <v>500</v>
      </c>
      <c r="H15" s="44" t="n">
        <v>0.87</v>
      </c>
      <c r="I15" s="45" t="n">
        <v>7</v>
      </c>
      <c r="J15" s="45" t="n">
        <v>1</v>
      </c>
      <c r="K15" s="45" t="n">
        <v>2</v>
      </c>
      <c r="L15" s="45" t="n">
        <v>201</v>
      </c>
      <c r="M15" s="45" t="n">
        <v>747</v>
      </c>
      <c r="N15" s="45" t="n">
        <v>0</v>
      </c>
      <c r="O15" s="45" t="n">
        <v>5</v>
      </c>
    </row>
    <row r="16" customFormat="false" ht="15.75" hidden="false" customHeight="true" outlineLevel="0" collapsed="false">
      <c r="A16" s="46" t="n">
        <v>2</v>
      </c>
      <c r="B16" s="46" t="n">
        <v>2</v>
      </c>
      <c r="C16" s="46" t="s">
        <v>479</v>
      </c>
      <c r="D16" s="47" t="n">
        <v>200</v>
      </c>
      <c r="E16" s="47" t="n">
        <v>1</v>
      </c>
      <c r="F16" s="47" t="n">
        <v>400</v>
      </c>
      <c r="G16" s="47" t="n">
        <v>300</v>
      </c>
      <c r="H16" s="46" t="n">
        <v>0.84</v>
      </c>
      <c r="I16" s="47" t="n">
        <v>7</v>
      </c>
      <c r="J16" s="47" t="n">
        <v>1</v>
      </c>
      <c r="K16" s="47" t="n">
        <v>2</v>
      </c>
      <c r="L16" s="47" t="n">
        <v>0</v>
      </c>
      <c r="M16" s="47" t="n">
        <v>0</v>
      </c>
      <c r="N16" s="47" t="n">
        <v>201</v>
      </c>
      <c r="O16" s="47" t="n">
        <v>5</v>
      </c>
    </row>
    <row r="17" customFormat="false" ht="15.75" hidden="false" customHeight="true" outlineLevel="0" collapsed="false">
      <c r="A17" s="44" t="n">
        <v>2</v>
      </c>
      <c r="B17" s="44" t="n">
        <v>3</v>
      </c>
      <c r="C17" s="44" t="s">
        <v>480</v>
      </c>
      <c r="D17" s="45" t="n">
        <v>150</v>
      </c>
      <c r="E17" s="45" t="n">
        <v>0</v>
      </c>
      <c r="F17" s="45" t="n">
        <v>200</v>
      </c>
      <c r="G17" s="45" t="n">
        <v>150</v>
      </c>
      <c r="H17" s="44" t="n">
        <v>0.85</v>
      </c>
      <c r="I17" s="45" t="n">
        <v>7</v>
      </c>
      <c r="J17" s="45" t="n">
        <v>0</v>
      </c>
      <c r="K17" s="45" t="n">
        <v>2</v>
      </c>
      <c r="L17" s="45" t="n">
        <v>0</v>
      </c>
      <c r="M17" s="45" t="n">
        <v>0</v>
      </c>
      <c r="N17" s="45" t="n">
        <v>0</v>
      </c>
      <c r="O17" s="45" t="n">
        <v>5</v>
      </c>
    </row>
    <row r="20" customFormat="false" ht="15" hidden="false" customHeight="false" outlineLevel="0" collapsed="false">
      <c r="A20" s="12" t="s">
        <v>481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customFormat="false" ht="18" hidden="false" customHeight="true" outlineLevel="0" collapsed="false">
      <c r="A21" s="48" t="s">
        <v>451</v>
      </c>
      <c r="B21" s="21" t="s">
        <v>482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customFormat="false" ht="18" hidden="false" customHeight="true" outlineLevel="0" collapsed="false">
      <c r="A22" s="49" t="s">
        <v>455</v>
      </c>
      <c r="B22" s="24" t="s">
        <v>483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</row>
    <row r="23" customFormat="false" ht="18" hidden="false" customHeight="true" outlineLevel="0" collapsed="false">
      <c r="A23" s="48" t="s">
        <v>459</v>
      </c>
      <c r="B23" s="21" t="s">
        <v>484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</row>
    <row r="24" customFormat="false" ht="18" hidden="false" customHeight="true" outlineLevel="0" collapsed="false">
      <c r="A24" s="49" t="s">
        <v>460</v>
      </c>
      <c r="B24" s="24" t="s">
        <v>485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customFormat="false" ht="18" hidden="false" customHeight="true" outlineLevel="0" collapsed="false">
      <c r="A25" s="48" t="s">
        <v>461</v>
      </c>
      <c r="B25" s="21" t="s">
        <v>486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customFormat="false" ht="18" hidden="false" customHeight="true" outlineLevel="0" collapsed="false">
      <c r="A26" s="49" t="s">
        <v>465</v>
      </c>
      <c r="B26" s="24" t="s">
        <v>487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customFormat="false" ht="18" hidden="false" customHeight="true" outlineLevel="0" collapsed="false">
      <c r="A27" s="48" t="s">
        <v>458</v>
      </c>
      <c r="B27" s="21" t="s">
        <v>488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customFormat="false" ht="18" hidden="false" customHeight="true" outlineLevel="0" collapsed="false">
      <c r="A28" s="49" t="s">
        <v>464</v>
      </c>
      <c r="B28" s="24" t="s">
        <v>489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</row>
    <row r="29" customFormat="false" ht="18" hidden="false" customHeight="true" outlineLevel="0" collapsed="false">
      <c r="A29" s="48" t="s">
        <v>490</v>
      </c>
      <c r="B29" s="21" t="s">
        <v>491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</row>
  </sheetData>
  <mergeCells count="11">
    <mergeCell ref="A1:O1"/>
    <mergeCell ref="A20:O20"/>
    <mergeCell ref="B21:O21"/>
    <mergeCell ref="B22:O22"/>
    <mergeCell ref="B23:O23"/>
    <mergeCell ref="B24:O24"/>
    <mergeCell ref="B25:O25"/>
    <mergeCell ref="B26:O26"/>
    <mergeCell ref="B27:O27"/>
    <mergeCell ref="B28:O28"/>
    <mergeCell ref="B29:O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2026-03-02T08:14:29Z</dcterms:created>
  <dc:creator>openpyxl</dc:creator>
  <dc:description/>
  <dc:language>en-US</dc:language>
  <cp:lastModifiedBy/>
  <dcterms:modified xsi:type="dcterms:W3CDTF">2026-03-02T08:14:37Z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