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12-Day War Daily Data" sheetId="2" state="visible" r:id="rId4"/>
    <sheet name="Op Epic Fury 2026" sheetId="3" state="visible" r:id="rId5"/>
    <sheet name="Comparative Analysis" sheetId="4" state="visible" r:id="rId6"/>
    <sheet name="ML Study Guide" sheetId="5" state="visible" r:id="rId7"/>
    <sheet name="ML Feature Datase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<sst xmlns="http://schemas.openxmlformats.org/spreadsheetml/2006/main" count="400" uniqueCount="347">
  <si>
    <t xml:space="preserve">MIDDLE EAST CONFLICT CASUALTY ANALYSIS — MASTER DATASET</t>
  </si>
  <si>
    <t xml:space="preserve">Iran–Israel 12-Day War (Jun 13–24 2025)  |  Operation Epic Fury / Roaring Lion (Feb 28–Mar 2026+)</t>
  </si>
  <si>
    <t xml:space="preserve">IRAN KILLED (12-Day)</t>
  </si>
  <si>
    <t xml:space="preserve">IRAN WOUNDED (12-Day)</t>
  </si>
  <si>
    <t xml:space="preserve">ISRAEL KILLED (12-Day)</t>
  </si>
  <si>
    <t xml:space="preserve">ISRAEL WOUNDED (12-Day)</t>
  </si>
  <si>
    <t xml:space="preserve">US KIA (Epic Fury)</t>
  </si>
  <si>
    <t xml:space="preserve">US WIA (Epic Fury)</t>
  </si>
  <si>
    <t xml:space="preserve">1,062–1,190</t>
  </si>
  <si>
    <t xml:space="preserve">4,475–4,746</t>
  </si>
  <si>
    <t xml:space="preserve">28–30</t>
  </si>
  <si>
    <t xml:space="preserve">3,238–3,491</t>
  </si>
  <si>
    <t xml:space="preserve">3</t>
  </si>
  <si>
    <t xml:space="preserve">5+</t>
  </si>
  <si>
    <t xml:space="preserve">CONFLICT TIMELINE SUMMARY</t>
  </si>
  <si>
    <t xml:space="preserve">Conflict</t>
  </si>
  <si>
    <t xml:space="preserve">Start Date</t>
  </si>
  <si>
    <t xml:space="preserve">End Date</t>
  </si>
  <si>
    <t xml:space="preserve">Duration</t>
  </si>
  <si>
    <t xml:space="preserve">Primary Actor</t>
  </si>
  <si>
    <t xml:space="preserve">Status</t>
  </si>
  <si>
    <t xml:space="preserve">2024 Iran–Israel proxy escalations</t>
  </si>
  <si>
    <t xml:space="preserve">Apr 1, 2024</t>
  </si>
  <si>
    <t xml:space="preserve">Dec 2024</t>
  </si>
  <si>
    <t xml:space="preserve">~9 months</t>
  </si>
  <si>
    <t xml:space="preserve">Iran/Israel/Proxies</t>
  </si>
  <si>
    <t xml:space="preserve">Ended</t>
  </si>
  <si>
    <t xml:space="preserve">Twelve-Day War</t>
  </si>
  <si>
    <t xml:space="preserve">Jun 13, 2025</t>
  </si>
  <si>
    <t xml:space="preserve">Jun 24, 2025</t>
  </si>
  <si>
    <t xml:space="preserve">12 days</t>
  </si>
  <si>
    <t xml:space="preserve">Israel + US (Day 10)</t>
  </si>
  <si>
    <t xml:space="preserve">Ceasefire</t>
  </si>
  <si>
    <t xml:space="preserve">Operation Epic Fury / Roaring Lion</t>
  </si>
  <si>
    <t xml:space="preserve">Feb 28, 2026</t>
  </si>
  <si>
    <t xml:space="preserve">Ongoing</t>
  </si>
  <si>
    <t xml:space="preserve">Days+</t>
  </si>
  <si>
    <t xml:space="preserve">USA + Israel vs Iran</t>
  </si>
  <si>
    <t xml:space="preserve">Active</t>
  </si>
  <si>
    <t xml:space="preserve">Iranian Retaliatory Strikes (8 countries)</t>
  </si>
  <si>
    <t xml:space="preserve">Iran</t>
  </si>
  <si>
    <t xml:space="preserve">TWELVE-DAY WAR (Jun 13–24, 2025) — DAILY CASUALTY DATA</t>
  </si>
  <si>
    <t xml:space="preserve">Day</t>
  </si>
  <si>
    <t xml:space="preserve">Date</t>
  </si>
  <si>
    <t xml:space="preserve">Iran Killed</t>
  </si>
  <si>
    <t xml:space="preserve">Iran Wounded</t>
  </si>
  <si>
    <t xml:space="preserve">Iran Cumul. Killed</t>
  </si>
  <si>
    <t xml:space="preserve">Iran Cumul. Wounded</t>
  </si>
  <si>
    <t xml:space="preserve">Israel Killed</t>
  </si>
  <si>
    <t xml:space="preserve">Israel Wounded</t>
  </si>
  <si>
    <t xml:space="preserve">Key Events</t>
  </si>
  <si>
    <t xml:space="preserve">Source</t>
  </si>
  <si>
    <t xml:space="preserve">Jun 13</t>
  </si>
  <si>
    <t xml:space="preserve">Israel launches 5 waves, 200+ jets, 100+ targets. Tehran/Tabriz/Kermanshah hit.</t>
  </si>
  <si>
    <t xml:space="preserve">HRANA / Wikipedia</t>
  </si>
  <si>
    <t xml:space="preserve">Jun 14</t>
  </si>
  <si>
    <t xml:space="preserve">Khorramabad &amp; Asadabad struck. 1st ambulance strike. Israel expands scope.</t>
  </si>
  <si>
    <t xml:space="preserve">HRANA</t>
  </si>
  <si>
    <t xml:space="preserve">Jun 15</t>
  </si>
  <si>
    <t xml:space="preserve">Tajrish (Tehran) civilian area hit. Iranian missiles hit Beersheba (1 IDF KIA).</t>
  </si>
  <si>
    <t xml:space="preserve">HRANA/Statista</t>
  </si>
  <si>
    <t xml:space="preserve">Jun 16</t>
  </si>
  <si>
    <t xml:space="preserve">Iranian ballistic missiles on Haifa &amp; Tel Aviv. CNN: 24 killed in Israel total.</t>
  </si>
  <si>
    <t xml:space="preserve">HRANA/CNN</t>
  </si>
  <si>
    <t xml:space="preserve">Jun 17</t>
  </si>
  <si>
    <t xml:space="preserve">Continued IRGC C2 strikes. Israel claims IRGC Aerospace leadership killed.</t>
  </si>
  <si>
    <t xml:space="preserve">Jun 18</t>
  </si>
  <si>
    <t xml:space="preserve">Iranian missiles over Tel Aviv; 40 bldgs damaged. IDF issues 21k+ alerts.</t>
  </si>
  <si>
    <t xml:space="preserve">HRANA/Haaretz</t>
  </si>
  <si>
    <t xml:space="preserve">Jun 19</t>
  </si>
  <si>
    <t xml:space="preserve">7-day tally: 2,694. Govt acknowledges 54 women/children killed.</t>
  </si>
  <si>
    <t xml:space="preserve">Jun 20</t>
  </si>
  <si>
    <t xml:space="preserve">Energy facilities &amp; hospitals hit. 5-yr-old killed in Asadabad.</t>
  </si>
  <si>
    <t xml:space="preserve">Jun 21</t>
  </si>
  <si>
    <t xml:space="preserve">Israeli footage of Isfahan nuclear facility aftermath released.</t>
  </si>
  <si>
    <t xml:space="preserve">IDF/HRANA</t>
  </si>
  <si>
    <t xml:space="preserve">Jun 22</t>
  </si>
  <si>
    <t xml:space="preserve">US bombs Natanz/Isfahan/Fordow. Iran retaliates vs Al-Udeid (Qatar).</t>
  </si>
  <si>
    <t xml:space="preserve">CENTCOM/HRANA</t>
  </si>
  <si>
    <t xml:space="preserve">Jun 23</t>
  </si>
  <si>
    <t xml:space="preserve">Evin Prison attacked: 44 confirmed killed. Continued strikes across provinces.</t>
  </si>
  <si>
    <t xml:space="preserve">Hengaw/HRANA</t>
  </si>
  <si>
    <t xml:space="preserve">Jun 24</t>
  </si>
  <si>
    <t xml:space="preserve">Final drone waves: E.Tehran/Ahvaz/Astaneh. Ceasefire announced.</t>
  </si>
  <si>
    <t xml:space="preserve">HRANA/Times of Israel</t>
  </si>
  <si>
    <t xml:space="preserve">TOTAL / FINAL</t>
  </si>
  <si>
    <t xml:space="preserve">OPERATION EPIC FURY / ROARING LION — LIVE CASUALTY TRACKER (as of Mar 2, 2026)</t>
  </si>
  <si>
    <t xml:space="preserve">IRAN — CONFIRMED CASUALTIES (ongoing, data from Red Crescent, Iranian state media)</t>
  </si>
  <si>
    <t xml:space="preserve">Category</t>
  </si>
  <si>
    <t xml:space="preserve">Count (as of Mar 2)</t>
  </si>
  <si>
    <t xml:space="preserve">Notes</t>
  </si>
  <si>
    <t xml:space="preserve">Confirmed Killed</t>
  </si>
  <si>
    <t xml:space="preserve">Preliminary</t>
  </si>
  <si>
    <t xml:space="preserve">Iranian Red Crescent</t>
  </si>
  <si>
    <t xml:space="preserve">Ongoing — figures rising</t>
  </si>
  <si>
    <t xml:space="preserve">Confirmed Wounded</t>
  </si>
  <si>
    <t xml:space="preserve">Minab School Strike Deaths</t>
  </si>
  <si>
    <t xml:space="preserve">Confirmed</t>
  </si>
  <si>
    <t xml:space="preserve">Multiple sources</t>
  </si>
  <si>
    <t xml:space="preserve">Girls elementary school hit Feb 28</t>
  </si>
  <si>
    <t xml:space="preserve">Senior Officials Killed</t>
  </si>
  <si>
    <t xml:space="preserve">40+</t>
  </si>
  <si>
    <t xml:space="preserve">Trump/Israeli officials</t>
  </si>
  <si>
    <t xml:space="preserve">Incl. Khamenei, Mousavi, Ahmadinejad</t>
  </si>
  <si>
    <t xml:space="preserve">Khamenei (Supreme Leader)</t>
  </si>
  <si>
    <t xml:space="preserve">Killed</t>
  </si>
  <si>
    <t xml:space="preserve">Iranian state media</t>
  </si>
  <si>
    <t xml:space="preserve">Mar 1 2026 — 40 days mourning declared</t>
  </si>
  <si>
    <t xml:space="preserve">Nuclear Scientists Killed</t>
  </si>
  <si>
    <t xml:space="preserve">~0 (no report yet)</t>
  </si>
  <si>
    <t xml:space="preserve">Unconfirmed</t>
  </si>
  <si>
    <t xml:space="preserve">Epic Fury focused on regime/military</t>
  </si>
  <si>
    <t xml:space="preserve">US / COALITION — CASUALTIES</t>
  </si>
  <si>
    <t xml:space="preserve">Country</t>
  </si>
  <si>
    <t xml:space="preserve">KIA</t>
  </si>
  <si>
    <t xml:space="preserve">WIA (Serious)</t>
  </si>
  <si>
    <t xml:space="preserve">WIA (Minor)</t>
  </si>
  <si>
    <t xml:space="preserve">Location</t>
  </si>
  <si>
    <t xml:space="preserve">USA</t>
  </si>
  <si>
    <t xml:space="preserve">5</t>
  </si>
  <si>
    <t xml:space="preserve">Several (shrapnel/concussion)</t>
  </si>
  <si>
    <t xml:space="preserve">Middle East (undisclosed)</t>
  </si>
  <si>
    <t xml:space="preserve">Mar 1 2026</t>
  </si>
  <si>
    <t xml:space="preserve">CENTCOM / PBS</t>
  </si>
  <si>
    <t xml:space="preserve">Israel (civilians)</t>
  </si>
  <si>
    <t xml:space="preserve">9</t>
  </si>
  <si>
    <t xml:space="preserve">~20</t>
  </si>
  <si>
    <t xml:space="preserve">Near Jerusalem</t>
  </si>
  <si>
    <t xml:space="preserve">Israeli officials</t>
  </si>
  <si>
    <t xml:space="preserve">Qatar (Al-Udeid base)</t>
  </si>
  <si>
    <t xml:space="preserve">0</t>
  </si>
  <si>
    <t xml:space="preserve">16</t>
  </si>
  <si>
    <t xml:space="preserve">Al-Udeid Air Base</t>
  </si>
  <si>
    <t xml:space="preserve">Feb 28–Mar 1</t>
  </si>
  <si>
    <t xml:space="preserve">Qatar MoI</t>
  </si>
  <si>
    <t xml:space="preserve">UAE (civilians)</t>
  </si>
  <si>
    <t xml:space="preserve">1</t>
  </si>
  <si>
    <t xml:space="preserve">58</t>
  </si>
  <si>
    <t xml:space="preserve">Dubai / Abu Dhabi area</t>
  </si>
  <si>
    <t xml:space="preserve">Mar 1</t>
  </si>
  <si>
    <t xml:space="preserve">UAE officials</t>
  </si>
  <si>
    <t xml:space="preserve">Bahrain</t>
  </si>
  <si>
    <t xml:space="preserve">TBD</t>
  </si>
  <si>
    <t xml:space="preserve">Mina Salman port</t>
  </si>
  <si>
    <t xml:space="preserve">Reports</t>
  </si>
  <si>
    <t xml:space="preserve">Oman (tanker crew)</t>
  </si>
  <si>
    <t xml:space="preserve">4</t>
  </si>
  <si>
    <t xml:space="preserve">Off Musandam coast</t>
  </si>
  <si>
    <t xml:space="preserve">Oman News Agency</t>
  </si>
  <si>
    <t xml:space="preserve">MILITARY ASSETS / STRIKES SUMMARY</t>
  </si>
  <si>
    <t xml:space="preserve">Asset / Event</t>
  </si>
  <si>
    <t xml:space="preserve">Details</t>
  </si>
  <si>
    <t xml:space="preserve">US Strikes Targets</t>
  </si>
  <si>
    <t xml:space="preserve">IRGC C2, Air Defense, Missile/Drone sites, Military Airfields, Isfahan/Karaj/Kermanshah/Qum/Tabriz</t>
  </si>
  <si>
    <t xml:space="preserve">CENTCOM</t>
  </si>
  <si>
    <t xml:space="preserve">Israeli Op Codenamed</t>
  </si>
  <si>
    <t xml:space="preserve">Roaring Lion — targeting regime leadership, IDF aiming 'air superiority over Tehran'</t>
  </si>
  <si>
    <t xml:space="preserve">IDF</t>
  </si>
  <si>
    <t xml:space="preserve">US Op Codenamed</t>
  </si>
  <si>
    <t xml:space="preserve">Operation Epic Fury</t>
  </si>
  <si>
    <t xml:space="preserve">Iran Retaliation Scope</t>
  </si>
  <si>
    <t xml:space="preserve">Strikes vs 8 countries: Bahrain, Iraq, Jordan, Kuwait, Oman, Qatar, Saudi Arabia, UAE</t>
  </si>
  <si>
    <t xml:space="preserve">Al Jazeera</t>
  </si>
  <si>
    <t xml:space="preserve">Iranian Vessel Sunk</t>
  </si>
  <si>
    <t xml:space="preserve">1 Jamaran-class corvette</t>
  </si>
  <si>
    <t xml:space="preserve">Novel Weapon First Use</t>
  </si>
  <si>
    <t xml:space="preserve">LUCAS autonomous kamikaze drone (US, reverse-engineered Shahed-136)</t>
  </si>
  <si>
    <t xml:space="preserve">Military Times</t>
  </si>
  <si>
    <t xml:space="preserve">US Troops in Region</t>
  </si>
  <si>
    <t xml:space="preserve">40,000–50,000 (pre-conflict)</t>
  </si>
  <si>
    <t xml:space="preserve">CFR / Al Jazeera</t>
  </si>
  <si>
    <t xml:space="preserve">US Carrier Groups</t>
  </si>
  <si>
    <t xml:space="preserve">USS Gerald R. Ford + 4 destroyers + USS Abraham Lincoln + 3 destroyers</t>
  </si>
  <si>
    <t xml:space="preserve">PBS/CENTCOM</t>
  </si>
  <si>
    <t xml:space="preserve">COMPARATIVE ANALYSIS — 12-Day War vs Operation Epic Fury</t>
  </si>
  <si>
    <t xml:space="preserve">Metric</t>
  </si>
  <si>
    <t xml:space="preserve">12-Day War (Jun 2025)</t>
  </si>
  <si>
    <t xml:space="preserve">Op Epic Fury (Feb–Mar 2026)</t>
  </si>
  <si>
    <t xml:space="preserve">Ongoing (Day 3+)</t>
  </si>
  <si>
    <t xml:space="preserve">Trump: '4 weeks or less'</t>
  </si>
  <si>
    <t xml:space="preserve">Various</t>
  </si>
  <si>
    <t xml:space="preserve">Iranian Killed (confirmed)</t>
  </si>
  <si>
    <t xml:space="preserve">201+ (preliminary, rising)</t>
  </si>
  <si>
    <t xml:space="preserve">EF figures very early</t>
  </si>
  <si>
    <t xml:space="preserve">HRANA / Red Crescent</t>
  </si>
  <si>
    <t xml:space="preserve">Iranian Wounded</t>
  </si>
  <si>
    <t xml:space="preserve">747+ (preliminary)</t>
  </si>
  <si>
    <t xml:space="preserve">Minab/Civilian School</t>
  </si>
  <si>
    <t xml:space="preserve">N/A</t>
  </si>
  <si>
    <t xml:space="preserve">148 killed (Minab girls school)</t>
  </si>
  <si>
    <t xml:space="preserve">Deadliest single event in EF</t>
  </si>
  <si>
    <t xml:space="preserve">US KIA</t>
  </si>
  <si>
    <t xml:space="preserve">0 (June 2025)</t>
  </si>
  <si>
    <t xml:space="preserve">First major US casualties</t>
  </si>
  <si>
    <t xml:space="preserve">US WIA</t>
  </si>
  <si>
    <t xml:space="preserve">5 serious + several minor</t>
  </si>
  <si>
    <t xml:space="preserve">Fluid situation</t>
  </si>
  <si>
    <t xml:space="preserve">Israeli KIA (from Iran strikes)</t>
  </si>
  <si>
    <t xml:space="preserve">9 (near Jerusalem)</t>
  </si>
  <si>
    <t xml:space="preserve">Iranian Supreme Leader</t>
  </si>
  <si>
    <t xml:space="preserve">Survived</t>
  </si>
  <si>
    <t xml:space="preserve">KILLED (Khamenei, Mar 1 2026)</t>
  </si>
  <si>
    <t xml:space="preserve">Unprecedented</t>
  </si>
  <si>
    <t xml:space="preserve">US Direct Involvement</t>
  </si>
  <si>
    <t xml:space="preserve">Day 10 only (Jun 22)</t>
  </si>
  <si>
    <t xml:space="preserve">Full co-lead from Day 1</t>
  </si>
  <si>
    <t xml:space="preserve">Major escalation</t>
  </si>
  <si>
    <t xml:space="preserve">Countries Attacked by Iran</t>
  </si>
  <si>
    <t xml:space="preserve">8 (Bahrain/Iraq/Jordan/Kuwait/Oman/Qatar/KSA/UAE)</t>
  </si>
  <si>
    <t xml:space="preserve">Massive regional spread</t>
  </si>
  <si>
    <t xml:space="preserve">Iranian Missiles Fired</t>
  </si>
  <si>
    <t xml:space="preserve">~550 ballistic + 1,000 drones (vs Israel)</t>
  </si>
  <si>
    <t xml:space="preserve">Hundreds (vs 8 countries)</t>
  </si>
  <si>
    <t xml:space="preserve">Times of Israel</t>
  </si>
  <si>
    <t xml:space="preserve">Israeli Interception Rate</t>
  </si>
  <si>
    <t xml:space="preserve">~90% (missiles), ~99% (drones)</t>
  </si>
  <si>
    <t xml:space="preserve">High (most intercepted)</t>
  </si>
  <si>
    <t xml:space="preserve">IDF / Qatar MoD</t>
  </si>
  <si>
    <t xml:space="preserve">Khamenei Status</t>
  </si>
  <si>
    <t xml:space="preserve">Alive</t>
  </si>
  <si>
    <t xml:space="preserve">DEAD</t>
  </si>
  <si>
    <t xml:space="preserve">Changes Iranian power structure</t>
  </si>
  <si>
    <t xml:space="preserve">Oil Price Impact</t>
  </si>
  <si>
    <t xml:space="preserve">Minimal (Strait open)</t>
  </si>
  <si>
    <t xml:space="preserve">Brent +19% YTD; fears of Hormuz closure</t>
  </si>
  <si>
    <t xml:space="preserve">EF creates larger risk</t>
  </si>
  <si>
    <t xml:space="preserve">CNBC</t>
  </si>
  <si>
    <t xml:space="preserve">Nuclear Facilities Targeted</t>
  </si>
  <si>
    <t xml:space="preserve">Yes (Natanz/Isfahan/Fordow Jun 22)</t>
  </si>
  <si>
    <t xml:space="preserve">Yes (Isfahan/Karaj/Qum/Tabriz/Kermanshah)</t>
  </si>
  <si>
    <t xml:space="preserve">CENTCOM/IDF</t>
  </si>
  <si>
    <t xml:space="preserve">Jun 24 (brokered by US)</t>
  </si>
  <si>
    <t xml:space="preserve">None yet</t>
  </si>
  <si>
    <t xml:space="preserve">MACHINE LEARNING STUDY GUIDE — CONFLICT CASUALTY PREDICTION</t>
  </si>
  <si>
    <t xml:space="preserve">Step-by-Step Methodology to Predict Casualties Using ML</t>
  </si>
  <si>
    <t xml:space="preserve">STEP</t>
  </si>
  <si>
    <t xml:space="preserve">PHASE</t>
  </si>
  <si>
    <t xml:space="preserve">DESCRIPTION / ACTIONS</t>
  </si>
  <si>
    <t xml:space="preserve">RECOMMENDED TOOLS</t>
  </si>
  <si>
    <t xml:space="preserve">Step 1</t>
  </si>
  <si>
    <t xml:space="preserve">Problem Definition</t>
  </si>
  <si>
    <t xml:space="preserve">Define target variable: Daily/total casualties (killed + wounded).
Choose prediction type:
• Regression: predict count
• Classification: Low/Med/High casualty day</t>
  </si>
  <si>
    <t xml:space="preserve">Python / Jupyter Notebook</t>
  </si>
  <si>
    <t xml:space="preserve">Step 2</t>
  </si>
  <si>
    <t xml:space="preserve">Data Collection (Features)</t>
  </si>
  <si>
    <t xml:space="preserve">Collect per-day/per-event features:
• Strike count
• Target type (military/civilian/nuclear)
• Missiles fired / intercepted
• Countries involved
• Air defense status
• Day of conflict
• Weather / visibility
• Prior day casualties
• Leadership targets killed</t>
  </si>
  <si>
    <t xml:space="preserve">Web scraping, ACLED dataset,
GDELT Project, SIPRI,
Reuters/AP APIs</t>
  </si>
  <si>
    <t xml:space="preserve">Step 3</t>
  </si>
  <si>
    <t xml:space="preserve">Feature Engineering</t>
  </si>
  <si>
    <t xml:space="preserve">Create new features:
• Rolling 3-day avg casualties
• Cumulative strikes ratio
• Interception rate (%)
• Civilian target flag (0/1)
• Leadership killed flag
• Escalation index (ordinal)
• Country count under attack</t>
  </si>
  <si>
    <t xml:space="preserve">pandas, numpy</t>
  </si>
  <si>
    <t xml:space="preserve">Step 4</t>
  </si>
  <si>
    <t xml:space="preserve">Data Preprocessing</t>
  </si>
  <si>
    <t xml:space="preserve">• Handle missing values (mean/median imputation)
• Normalize/scale numeric features (MinMaxScaler)
• Encode categoricals (OneHotEncoder)
• Handle class imbalance (SMOTE if classification)
• Train/Test split: 80/20
• For time-series: use TimeSeriesSplit</t>
  </si>
  <si>
    <t xml:space="preserve">scikit-learn, imbalanced-learn</t>
  </si>
  <si>
    <t xml:space="preserve">Step 5</t>
  </si>
  <si>
    <t xml:space="preserve">Model Selection</t>
  </si>
  <si>
    <t xml:space="preserve">REGRESSION (predict exact count):
• Random Forest Regressor ⭐ (best for small tabular data)
• Gradient Boosting (XGBoost / LightGBM) ⭐
• Linear Regression (baseline)
• Ridge / Lasso (regularized)
CLASSIFICATION (High/Med/Low):
• Random Forest Classifier ⭐
• XGBoost Classifier ⭐
• SVM (for smaller datasets)
• Logistic Regression (baseline)
TIME SERIES:
• LSTM (RNN) — for sequential daily data
• ARIMA / SARIMA (statistical baseline)
• Prophet (Facebook — handles conflict breaks)</t>
  </si>
  <si>
    <t xml:space="preserve">scikit-learn, XGBoost,
LightGBM, TensorFlow/Keras,
statsmodels, Prophet</t>
  </si>
  <si>
    <t xml:space="preserve">Step 6</t>
  </si>
  <si>
    <t xml:space="preserve">Training &amp; Validation</t>
  </si>
  <si>
    <t xml:space="preserve">• Use cross-validation (k=5)
• For time data use walk-forward validation
• Evaluate:
  – Regression: RMSE, MAE, R²
  – Classification: Accuracy, F1, ROC-AUC
• Tune hyperparameters: GridSearchCV or Optuna</t>
  </si>
  <si>
    <t xml:space="preserve">scikit-learn, Optuna,
matplotlib, seaborn</t>
  </si>
  <si>
    <t xml:space="preserve">Step 7</t>
  </si>
  <si>
    <t xml:space="preserve">Feature Importance</t>
  </si>
  <si>
    <t xml:space="preserve">Identify top predictors:
• SHAP values (SHapley Additive exPlanations)
• Feature importance from Random Forest
• Correlation matrix / heatmap
Expected top features:
• Prior day kills, Strike count,
  Civilian target flag, Escalation index</t>
  </si>
  <si>
    <t xml:space="preserve">shap, matplotlib, seaborn</t>
  </si>
  <si>
    <t xml:space="preserve">Step 8</t>
  </si>
  <si>
    <t xml:space="preserve">Model Interpretation</t>
  </si>
  <si>
    <t xml:space="preserve">• LIME for local explanations
• Partial Dependence Plots (PDP)
• ICE plots for individual prediction
• Calibration plots (classification)
• Uncertainty quantification (Bayesian models)</t>
  </si>
  <si>
    <t xml:space="preserve">LIME, shap, scikit-learn</t>
  </si>
  <si>
    <t xml:space="preserve">Step 9</t>
  </si>
  <si>
    <t xml:space="preserve">Scenario Simulation</t>
  </si>
  <si>
    <t xml:space="preserve">Use trained model to simulate future scenarios:
• IF US escalates strikes → predict casualties
• IF ceasefire reached Day X → cumulative projection
• IF Hormuz closes → indirect civilian impact
Run Monte Carlo simulations (1000 samples)
for uncertainty bands</t>
  </si>
  <si>
    <t xml:space="preserve">numpy, scipy, matplotlib</t>
  </si>
  <si>
    <t xml:space="preserve">Step 10</t>
  </si>
  <si>
    <t xml:space="preserve">Combine Both Conflicts</t>
  </si>
  <si>
    <t xml:space="preserve">Merge 12-Day War + Epic Fury datasets:
• Use conflict ID as categorical feature
• Train on 12-Day War → transfer learn to EF
• Transfer Learning: pre-train on historical data,
  fine-tune on current conflict
• Compare model performance across conflicts</t>
  </si>
  <si>
    <t xml:space="preserve">pandas, scikit-learn,
TensorFlow (transfer learning)</t>
  </si>
  <si>
    <t xml:space="preserve">Step 11</t>
  </si>
  <si>
    <t xml:space="preserve">Deployment / Dashboard</t>
  </si>
  <si>
    <t xml:space="preserve">• Build real-time dashboard with Streamlit or Dash
• Connect to GDELT/ACLED live feed
• Update model predictions daily
• Visualize projections with confidence intervals</t>
  </si>
  <si>
    <t xml:space="preserve">Streamlit, Plotly Dash,
FastAPI, Docker</t>
  </si>
  <si>
    <t xml:space="preserve">RECOMMENDED ML ALGORITHMS — QUICK REFERENCE</t>
  </si>
  <si>
    <t xml:space="preserve">Algorithm</t>
  </si>
  <si>
    <t xml:space="preserve">Task Type</t>
  </si>
  <si>
    <t xml:space="preserve">Why Use It</t>
  </si>
  <si>
    <t xml:space="preserve">Difficulty</t>
  </si>
  <si>
    <t xml:space="preserve">Random Forest</t>
  </si>
  <si>
    <t xml:space="preserve">Regression &amp; Classification</t>
  </si>
  <si>
    <t xml:space="preserve">Handles small data, non-linear, interpretable, robust to outliers</t>
  </si>
  <si>
    <t xml:space="preserve">⭐ Medium</t>
  </si>
  <si>
    <t xml:space="preserve">XGBoost / LightGBM</t>
  </si>
  <si>
    <t xml:space="preserve">Best accuracy on tabular data, handles missing values, fast</t>
  </si>
  <si>
    <t xml:space="preserve">⭐⭐ Medium</t>
  </si>
  <si>
    <t xml:space="preserve">LSTM (Long Short-Term Memory)</t>
  </si>
  <si>
    <t xml:space="preserve">Time-series / Sequential</t>
  </si>
  <si>
    <t xml:space="preserve">Captures temporal patterns in daily conflict data</t>
  </si>
  <si>
    <t xml:space="preserve">⭐⭐⭐ Hard</t>
  </si>
  <si>
    <t xml:space="preserve">Linear / Ridge Regression</t>
  </si>
  <si>
    <t xml:space="preserve">Regression (baseline)</t>
  </si>
  <si>
    <t xml:space="preserve">Simple, interpretable, good baseline model</t>
  </si>
  <si>
    <t xml:space="preserve">⭐ Easy</t>
  </si>
  <si>
    <t xml:space="preserve">ARIMA / SARIMA</t>
  </si>
  <si>
    <t xml:space="preserve">Time-series forecasting</t>
  </si>
  <si>
    <t xml:space="preserve">Statistical model for daily casualty trends</t>
  </si>
  <si>
    <t xml:space="preserve">Prophet</t>
  </si>
  <si>
    <t xml:space="preserve">Time-series with breaks</t>
  </si>
  <si>
    <t xml:space="preserve">Handles ceasefire breaks, holidays, regime changes</t>
  </si>
  <si>
    <t xml:space="preserve">SVM (Support Vector Machine)</t>
  </si>
  <si>
    <t xml:space="preserve">Classification</t>
  </si>
  <si>
    <t xml:space="preserve">Effective for small datasets with clear class margins</t>
  </si>
  <si>
    <t xml:space="preserve">Bayesian Ridge</t>
  </si>
  <si>
    <t xml:space="preserve">Regression with uncertainty</t>
  </si>
  <si>
    <t xml:space="preserve">Provides confidence intervals for casualty predictions</t>
  </si>
  <si>
    <t xml:space="preserve">ML FEATURE DATASET — COMBINED (12-Day War 2025 + Epic Fury 2026) — Ready for ML Training</t>
  </si>
  <si>
    <t xml:space="preserve">conflict_id</t>
  </si>
  <si>
    <t xml:space="preserve">day</t>
  </si>
  <si>
    <t xml:space="preserve">date</t>
  </si>
  <si>
    <t xml:space="preserve">strikes_count</t>
  </si>
  <si>
    <t xml:space="preserve">civilian_target</t>
  </si>
  <si>
    <t xml:space="preserve">missile_count</t>
  </si>
  <si>
    <t xml:space="preserve">drone_count</t>
  </si>
  <si>
    <t xml:space="preserve">interception_rate</t>
  </si>
  <si>
    <t xml:space="preserve">countries_attacked</t>
  </si>
  <si>
    <t xml:space="preserve">leadership_killed</t>
  </si>
  <si>
    <t xml:space="preserve">iran_killed</t>
  </si>
  <si>
    <t xml:space="preserve">iran_wounded</t>
  </si>
  <si>
    <t xml:space="preserve">prior_day_killed</t>
  </si>
  <si>
    <t xml:space="preserve">cumul_killed</t>
  </si>
  <si>
    <t xml:space="preserve">escalation_index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</si>
  <si>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</si>
  <si>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</si>
  <si>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</si>
  <si>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</si>
  <si>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</si>
  <si>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</si>
  <si>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</si>
  <si>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</si>
  <si>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</si>
  <si>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</si>
  <si>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</si>
  <si>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</si>
  <si>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2026-02-28</t>
  </si>
  <si>
    <t xml:space="preserve">2026-03-01</t>
  </si>
  <si>
    <t xml:space="preserve">2026-03-02</t>
  </si>
  <si>
    <t xml:space="preserve">NOTE: conflict_id=1 → 12-Day War (2025) | conflict_id=2 → Op Epic Fury (2026)   | escalation_index: 1=Low, 2=Moderate, 3=High, 4=Very High, 5=Critical   | All figures from HRANA, CENTCOM, Al Jazeera, Wikipedia — preliminary for Epic Fury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</si>
</sst>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2C3E50"/>
        <bgColor rgb="FF34495E"/>
      </patternFill>
    </fill>
    <fill>
      <patternFill patternType="solid">
        <fgColor rgb="FF1A5276"/>
        <bgColor rgb="FF34495E"/>
      </patternFill>
    </fill>
    <fill>
      <patternFill patternType="solid">
        <fgColor rgb="FF1E8449"/>
        <bgColor rgb="FF008080"/>
      </patternFill>
    </fill>
    <fill>
      <patternFill patternType="solid">
        <fgColor rgb="FF34495E"/>
        <bgColor rgb="FF2C3E50"/>
      </patternFill>
    </fill>
    <fill>
      <patternFill patternType="solid">
        <fgColor rgb="FFFFFFFF"/>
        <bgColor rgb="FFF9F9F9"/>
      </patternFill>
    </fill>
    <fill>
      <patternFill patternType="solid">
        <fgColor rgb="FFECF0F1"/>
        <bgColor rgb="FFF9F9F9"/>
      </patternFill>
    </fill>
    <fill>
      <patternFill patternType="solid">
        <fgColor rgb="FF7B241C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78787"/>
      <rgbColor rgb="FF9999FF"/>
      <rgbColor rgb="FFC0392B"/>
      <rgbColor rgb="FFF9F9F9"/>
      <rgbColor rgb="FFECF0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A5276"/>
      <rgbColor rgb="FF1E8449"/>
      <rgbColor rgb="FF003300"/>
      <rgbColor rgb="FF555555"/>
      <rgbColor rgb="FF7B241C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Iran Killed — 12-Day War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'12-Day War Daily Data'!C2</c:f>
              <c:strCache>
                <c:ptCount val="1"/>
                <c:pt idx="0">
                  <c:v>Iran Killed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'12-Day War Daily Data'!$B$3:$B$14</c:f>
              <c:strCache>
                <c:ptCount val="12"/>
                <c:pt idx="0">
                  <c:v>Jun 13</c:v>
                </c:pt>
                <c:pt idx="1">
                  <c:v>Jun 14</c:v>
                </c:pt>
                <c:pt idx="2">
                  <c:v>Jun 15</c:v>
                </c:pt>
                <c:pt idx="3">
                  <c:v>Jun 16</c:v>
                </c:pt>
                <c:pt idx="4">
                  <c:v>Jun 17</c:v>
                </c:pt>
                <c:pt idx="5">
                  <c:v>Jun 18</c:v>
                </c:pt>
                <c:pt idx="6">
                  <c:v>Jun 19</c:v>
                </c:pt>
                <c:pt idx="7">
                  <c:v>Jun 20</c:v>
                </c:pt>
                <c:pt idx="8">
                  <c:v>Jun 21</c:v>
                </c:pt>
                <c:pt idx="9">
                  <c:v>Jun 22</c:v>
                </c:pt>
                <c:pt idx="10">
                  <c:v>Jun 23</c:v>
                </c:pt>
                <c:pt idx="11">
                  <c:v>Jun 24</c:v>
                </c:pt>
              </c:strCache>
            </c:strRef>
          </c:cat>
          <c:val>
            <c:numRef>
              <c:f>'12-Day War Daily Data'!$C$3:$C$14</c:f>
              <c:numCache>
                <c:formatCode>#,##0</c:formatCode>
                <c:ptCount val="12"/>
                <c:pt idx="0">
                  <c:v>203</c:v>
                </c:pt>
                <c:pt idx="1">
                  <c:v>78</c:v>
                </c:pt>
                <c:pt idx="2">
                  <c:v>121</c:v>
                </c:pt>
                <c:pt idx="3">
                  <c:v>56</c:v>
                </c:pt>
                <c:pt idx="4">
                  <c:v>45</c:v>
                </c:pt>
                <c:pt idx="5">
                  <c:v>60</c:v>
                </c:pt>
                <c:pt idx="6">
                  <c:v>38</c:v>
                </c:pt>
                <c:pt idx="7">
                  <c:v>70</c:v>
                </c:pt>
                <c:pt idx="8">
                  <c:v>50</c:v>
                </c:pt>
                <c:pt idx="9">
                  <c:v>100</c:v>
                </c:pt>
                <c:pt idx="10">
                  <c:v>65</c:v>
                </c:pt>
                <c:pt idx="11">
                  <c:v>104</c:v>
                </c:pt>
              </c:numCache>
            </c:numRef>
          </c:val>
        </c:ser>
        <c:gapWidth val="150"/>
        <c:overlap val="0"/>
        <c:axId val="94006650"/>
        <c:axId val="38275634"/>
      </c:barChart>
      <c:catAx>
        <c:axId val="940066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75634"/>
        <c:crosses val="autoZero"/>
        <c:auto val="1"/>
        <c:lblAlgn val="ctr"/>
        <c:lblOffset val="100"/>
        <c:noMultiLvlLbl val="0"/>
      </c:catAx>
      <c:valAx>
        <c:axId val="38275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Killed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066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6</xdr:col>
      <xdr:colOff>714960</xdr:colOff>
      <xdr:row>38</xdr:row>
      <xdr:rowOff>128880</xdr:rowOff>
    </xdr:to>
    <xdr:graphicFrame>
      <xdr:nvGraphicFramePr>
        <xdr:cNvPr id="0" name="Chart 1"/>
        <xdr:cNvGraphicFramePr/>
      </xdr:nvGraphicFramePr>
      <xdr:xfrm>
        <a:off x="0" y="3943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8"/>
    <col collapsed="false" customWidth="true" hidden="false" outlineLevel="0" max="6" min="6" style="0" width="2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5" t="s">
        <v>6</v>
      </c>
      <c r="F4" s="5" t="s">
        <v>7</v>
      </c>
    </row>
    <row r="5" customFormat="false" ht="30" hidden="false" customHeight="true" outlineLevel="0" collapsed="false">
      <c r="A5" s="6" t="s">
        <v>8</v>
      </c>
      <c r="B5" s="6" t="s">
        <v>9</v>
      </c>
      <c r="C5" s="7" t="s">
        <v>10</v>
      </c>
      <c r="D5" s="7" t="s">
        <v>11</v>
      </c>
      <c r="E5" s="8" t="s">
        <v>12</v>
      </c>
      <c r="F5" s="8" t="s">
        <v>13</v>
      </c>
    </row>
    <row r="7" customFormat="false" ht="21.75" hidden="false" customHeight="true" outlineLevel="0" collapsed="false">
      <c r="A7" s="9" t="s">
        <v>14</v>
      </c>
      <c r="B7" s="9"/>
      <c r="C7" s="9"/>
      <c r="D7" s="9"/>
      <c r="E7" s="9"/>
      <c r="F7" s="9"/>
    </row>
    <row r="8" customFormat="false" ht="21.75" hidden="false" customHeight="true" outlineLevel="0" collapsed="false">
      <c r="A8" s="10" t="s">
        <v>15</v>
      </c>
      <c r="B8" s="10" t="s">
        <v>16</v>
      </c>
      <c r="C8" s="10" t="s">
        <v>17</v>
      </c>
      <c r="D8" s="10" t="s">
        <v>18</v>
      </c>
      <c r="E8" s="10" t="s">
        <v>19</v>
      </c>
      <c r="F8" s="10" t="s">
        <v>20</v>
      </c>
    </row>
    <row r="9" customFormat="false" ht="18" hidden="false" customHeight="true" outlineLevel="0" collapsed="false">
      <c r="A9" s="11" t="s">
        <v>21</v>
      </c>
      <c r="B9" s="11" t="s">
        <v>22</v>
      </c>
      <c r="C9" s="11" t="s">
        <v>23</v>
      </c>
      <c r="D9" s="11" t="s">
        <v>24</v>
      </c>
      <c r="E9" s="11" t="s">
        <v>25</v>
      </c>
      <c r="F9" s="11" t="s">
        <v>26</v>
      </c>
    </row>
    <row r="10" customFormat="false" ht="15" hidden="false" customHeight="false" outlineLevel="0" collapsed="false">
      <c r="A10" s="12" t="s">
        <v>27</v>
      </c>
      <c r="B10" s="12" t="s">
        <v>28</v>
      </c>
      <c r="C10" s="12" t="s">
        <v>29</v>
      </c>
      <c r="D10" s="12" t="s">
        <v>30</v>
      </c>
      <c r="E10" s="12" t="s">
        <v>31</v>
      </c>
      <c r="F10" s="12" t="s">
        <v>32</v>
      </c>
    </row>
    <row r="11" customFormat="false" ht="15" hidden="false" customHeight="false" outlineLevel="0" collapsed="false">
      <c r="A11" s="11" t="s">
        <v>33</v>
      </c>
      <c r="B11" s="11" t="s">
        <v>34</v>
      </c>
      <c r="C11" s="11" t="s">
        <v>35</v>
      </c>
      <c r="D11" s="11" t="s">
        <v>36</v>
      </c>
      <c r="E11" s="11" t="s">
        <v>37</v>
      </c>
      <c r="F11" s="11" t="s">
        <v>38</v>
      </c>
    </row>
    <row r="12" customFormat="false" ht="15" hidden="false" customHeight="false" outlineLevel="0" collapsed="false">
      <c r="A12" s="12" t="s">
        <v>39</v>
      </c>
      <c r="B12" s="12" t="s">
        <v>34</v>
      </c>
      <c r="C12" s="12" t="s">
        <v>35</v>
      </c>
      <c r="D12" s="12" t="s">
        <v>36</v>
      </c>
      <c r="E12" s="12" t="s">
        <v>40</v>
      </c>
      <c r="F12" s="12" t="s">
        <v>38</v>
      </c>
    </row>
  </sheetData>
  <mergeCells count="3">
    <mergeCell ref="A1:F1"/>
    <mergeCell ref="A2:F2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6"/>
    <col collapsed="false" customWidth="true" hidden="false" outlineLevel="0" max="9" min="8" style="0" width="20"/>
    <col collapsed="false" customWidth="true" hidden="false" outlineLevel="0" max="10" min="10" style="0" width="22"/>
  </cols>
  <sheetData>
    <row r="1" customFormat="false" ht="30" hidden="false" customHeight="true" outlineLevel="0" collapsed="false">
      <c r="A1" s="13" t="s">
        <v>41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30" hidden="false" customHeight="true" outlineLevel="0" collapsed="false">
      <c r="A2" s="14" t="s">
        <v>42</v>
      </c>
      <c r="B2" s="14" t="s">
        <v>43</v>
      </c>
      <c r="C2" s="14" t="s">
        <v>44</v>
      </c>
      <c r="D2" s="14" t="s">
        <v>45</v>
      </c>
      <c r="E2" s="14" t="s">
        <v>46</v>
      </c>
      <c r="F2" s="14" t="s">
        <v>47</v>
      </c>
      <c r="G2" s="14" t="s">
        <v>48</v>
      </c>
      <c r="H2" s="14" t="s">
        <v>49</v>
      </c>
      <c r="I2" s="14" t="s">
        <v>50</v>
      </c>
      <c r="J2" s="14" t="s">
        <v>51</v>
      </c>
    </row>
    <row r="3" customFormat="false" ht="18" hidden="false" customHeight="true" outlineLevel="0" collapsed="false">
      <c r="A3" s="12" t="n">
        <v>1</v>
      </c>
      <c r="B3" s="12" t="s">
        <v>52</v>
      </c>
      <c r="C3" s="15" t="n">
        <v>203</v>
      </c>
      <c r="D3" s="15" t="n">
        <v>570</v>
      </c>
      <c r="E3" s="12" t="n">
        <v>203</v>
      </c>
      <c r="F3" s="12" t="n">
        <v>570</v>
      </c>
      <c r="G3" s="15" t="n">
        <v>0</v>
      </c>
      <c r="H3" s="15" t="n">
        <v>100</v>
      </c>
      <c r="I3" s="12" t="s">
        <v>53</v>
      </c>
      <c r="J3" s="12" t="s">
        <v>54</v>
      </c>
    </row>
    <row r="4" customFormat="false" ht="18" hidden="false" customHeight="true" outlineLevel="0" collapsed="false">
      <c r="A4" s="11" t="n">
        <v>2</v>
      </c>
      <c r="B4" s="11" t="s">
        <v>55</v>
      </c>
      <c r="C4" s="16" t="n">
        <v>78</v>
      </c>
      <c r="D4" s="16" t="n">
        <v>200</v>
      </c>
      <c r="E4" s="11" t="n">
        <v>281</v>
      </c>
      <c r="F4" s="11" t="n">
        <v>770</v>
      </c>
      <c r="G4" s="16" t="n">
        <v>1</v>
      </c>
      <c r="H4" s="16" t="n">
        <v>150</v>
      </c>
      <c r="I4" s="11" t="s">
        <v>56</v>
      </c>
      <c r="J4" s="11" t="s">
        <v>57</v>
      </c>
    </row>
    <row r="5" customFormat="false" ht="18" hidden="false" customHeight="true" outlineLevel="0" collapsed="false">
      <c r="A5" s="12" t="n">
        <v>3</v>
      </c>
      <c r="B5" s="12" t="s">
        <v>58</v>
      </c>
      <c r="C5" s="15" t="n">
        <v>121</v>
      </c>
      <c r="D5" s="15" t="n">
        <v>330</v>
      </c>
      <c r="E5" s="12" t="n">
        <v>402</v>
      </c>
      <c r="F5" s="12" t="n">
        <v>1100</v>
      </c>
      <c r="G5" s="15" t="n">
        <v>10</v>
      </c>
      <c r="H5" s="15" t="n">
        <v>649</v>
      </c>
      <c r="I5" s="12" t="s">
        <v>59</v>
      </c>
      <c r="J5" s="12" t="s">
        <v>60</v>
      </c>
    </row>
    <row r="6" customFormat="false" ht="18" hidden="false" customHeight="true" outlineLevel="0" collapsed="false">
      <c r="A6" s="11" t="n">
        <v>4</v>
      </c>
      <c r="B6" s="11" t="s">
        <v>61</v>
      </c>
      <c r="C6" s="16" t="n">
        <v>56</v>
      </c>
      <c r="D6" s="16" t="n">
        <v>180</v>
      </c>
      <c r="E6" s="11" t="n">
        <v>458</v>
      </c>
      <c r="F6" s="11" t="n">
        <v>1280</v>
      </c>
      <c r="G6" s="16" t="n">
        <v>8</v>
      </c>
      <c r="H6" s="16" t="n">
        <v>100</v>
      </c>
      <c r="I6" s="11" t="s">
        <v>62</v>
      </c>
      <c r="J6" s="11" t="s">
        <v>63</v>
      </c>
    </row>
    <row r="7" customFormat="false" ht="18" hidden="false" customHeight="true" outlineLevel="0" collapsed="false">
      <c r="A7" s="12" t="n">
        <v>5</v>
      </c>
      <c r="B7" s="12" t="s">
        <v>64</v>
      </c>
      <c r="C7" s="15" t="n">
        <v>45</v>
      </c>
      <c r="D7" s="15" t="n">
        <v>120</v>
      </c>
      <c r="E7" s="12" t="n">
        <v>503</v>
      </c>
      <c r="F7" s="12" t="n">
        <v>1400</v>
      </c>
      <c r="G7" s="15" t="n">
        <v>2</v>
      </c>
      <c r="H7" s="15" t="n">
        <v>80</v>
      </c>
      <c r="I7" s="12" t="s">
        <v>65</v>
      </c>
      <c r="J7" s="12" t="s">
        <v>57</v>
      </c>
    </row>
    <row r="8" customFormat="false" ht="18" hidden="false" customHeight="true" outlineLevel="0" collapsed="false">
      <c r="A8" s="11" t="n">
        <v>6</v>
      </c>
      <c r="B8" s="11" t="s">
        <v>66</v>
      </c>
      <c r="C8" s="16" t="n">
        <v>60</v>
      </c>
      <c r="D8" s="16" t="n">
        <v>150</v>
      </c>
      <c r="E8" s="11" t="n">
        <v>563</v>
      </c>
      <c r="F8" s="11" t="n">
        <v>1550</v>
      </c>
      <c r="G8" s="16" t="n">
        <v>2</v>
      </c>
      <c r="H8" s="16" t="n">
        <v>200</v>
      </c>
      <c r="I8" s="11" t="s">
        <v>67</v>
      </c>
      <c r="J8" s="11" t="s">
        <v>68</v>
      </c>
    </row>
    <row r="9" customFormat="false" ht="18" hidden="false" customHeight="true" outlineLevel="0" collapsed="false">
      <c r="A9" s="12" t="n">
        <v>7</v>
      </c>
      <c r="B9" s="12" t="s">
        <v>69</v>
      </c>
      <c r="C9" s="15" t="n">
        <v>38</v>
      </c>
      <c r="D9" s="15" t="n">
        <v>95</v>
      </c>
      <c r="E9" s="12" t="n">
        <v>601</v>
      </c>
      <c r="F9" s="12" t="n">
        <v>1645</v>
      </c>
      <c r="G9" s="15" t="n">
        <v>1</v>
      </c>
      <c r="H9" s="15" t="n">
        <v>50</v>
      </c>
      <c r="I9" s="12" t="s">
        <v>70</v>
      </c>
      <c r="J9" s="12" t="s">
        <v>57</v>
      </c>
    </row>
    <row r="10" customFormat="false" ht="18" hidden="false" customHeight="true" outlineLevel="0" collapsed="false">
      <c r="A10" s="11" t="n">
        <v>8</v>
      </c>
      <c r="B10" s="11" t="s">
        <v>71</v>
      </c>
      <c r="C10" s="16" t="n">
        <v>70</v>
      </c>
      <c r="D10" s="16" t="n">
        <v>210</v>
      </c>
      <c r="E10" s="11" t="n">
        <v>671</v>
      </c>
      <c r="F10" s="11" t="n">
        <v>1855</v>
      </c>
      <c r="G10" s="16" t="n">
        <v>1</v>
      </c>
      <c r="H10" s="16" t="n">
        <v>100</v>
      </c>
      <c r="I10" s="11" t="s">
        <v>72</v>
      </c>
      <c r="J10" s="11" t="s">
        <v>57</v>
      </c>
    </row>
    <row r="11" customFormat="false" ht="18" hidden="false" customHeight="true" outlineLevel="0" collapsed="false">
      <c r="A11" s="12" t="n">
        <v>9</v>
      </c>
      <c r="B11" s="12" t="s">
        <v>73</v>
      </c>
      <c r="C11" s="15" t="n">
        <v>50</v>
      </c>
      <c r="D11" s="15" t="n">
        <v>130</v>
      </c>
      <c r="E11" s="12" t="n">
        <v>721</v>
      </c>
      <c r="F11" s="12" t="n">
        <v>1985</v>
      </c>
      <c r="G11" s="15" t="n">
        <v>0</v>
      </c>
      <c r="H11" s="15" t="n">
        <v>80</v>
      </c>
      <c r="I11" s="12" t="s">
        <v>74</v>
      </c>
      <c r="J11" s="12" t="s">
        <v>75</v>
      </c>
    </row>
    <row r="12" customFormat="false" ht="18" hidden="false" customHeight="true" outlineLevel="0" collapsed="false">
      <c r="A12" s="11" t="n">
        <v>10</v>
      </c>
      <c r="B12" s="11" t="s">
        <v>76</v>
      </c>
      <c r="C12" s="16" t="n">
        <v>100</v>
      </c>
      <c r="D12" s="16" t="n">
        <v>280</v>
      </c>
      <c r="E12" s="11" t="n">
        <v>821</v>
      </c>
      <c r="F12" s="11" t="n">
        <v>2265</v>
      </c>
      <c r="G12" s="16" t="n">
        <v>3</v>
      </c>
      <c r="H12" s="16" t="n">
        <v>90</v>
      </c>
      <c r="I12" s="11" t="s">
        <v>77</v>
      </c>
      <c r="J12" s="11" t="s">
        <v>78</v>
      </c>
    </row>
    <row r="13" customFormat="false" ht="18" hidden="false" customHeight="true" outlineLevel="0" collapsed="false">
      <c r="A13" s="12" t="n">
        <v>11</v>
      </c>
      <c r="B13" s="12" t="s">
        <v>79</v>
      </c>
      <c r="C13" s="15" t="n">
        <v>65</v>
      </c>
      <c r="D13" s="15" t="n">
        <v>170</v>
      </c>
      <c r="E13" s="12" t="n">
        <v>886</v>
      </c>
      <c r="F13" s="12" t="n">
        <v>2435</v>
      </c>
      <c r="G13" s="15" t="n">
        <v>0</v>
      </c>
      <c r="H13" s="15" t="n">
        <v>70</v>
      </c>
      <c r="I13" s="12" t="s">
        <v>80</v>
      </c>
      <c r="J13" s="12" t="s">
        <v>81</v>
      </c>
    </row>
    <row r="14" customFormat="false" ht="18" hidden="false" customHeight="true" outlineLevel="0" collapsed="false">
      <c r="A14" s="11" t="n">
        <v>12</v>
      </c>
      <c r="B14" s="11" t="s">
        <v>82</v>
      </c>
      <c r="C14" s="16" t="n">
        <v>104</v>
      </c>
      <c r="D14" s="16" t="n">
        <v>300</v>
      </c>
      <c r="E14" s="11" t="n">
        <v>990</v>
      </c>
      <c r="F14" s="11" t="n">
        <v>2735</v>
      </c>
      <c r="G14" s="16" t="n">
        <v>0</v>
      </c>
      <c r="H14" s="16" t="n">
        <v>60</v>
      </c>
      <c r="I14" s="11" t="s">
        <v>83</v>
      </c>
      <c r="J14" s="11" t="s">
        <v>84</v>
      </c>
    </row>
    <row r="15" customFormat="false" ht="19.5" hidden="false" customHeight="true" outlineLevel="0" collapsed="false">
      <c r="A15" s="17" t="s">
        <v>85</v>
      </c>
      <c r="B15" s="17"/>
      <c r="C15" s="18" t="n">
        <f aca="false">SUM(C3:C14)</f>
        <v>990</v>
      </c>
      <c r="D15" s="18" t="n">
        <f aca="false">SUM(D3:D14)</f>
        <v>2735</v>
      </c>
      <c r="E15" s="18" t="n">
        <f aca="false">MAX(E3:E14)</f>
        <v>990</v>
      </c>
      <c r="F15" s="18" t="n">
        <f aca="false">MAX(F3:F14)</f>
        <v>2735</v>
      </c>
      <c r="G15" s="18" t="n">
        <f aca="false">SUM(G3:G14)</f>
        <v>28</v>
      </c>
      <c r="H15" s="18" t="n">
        <f aca="false">SUM(H3:H14)</f>
        <v>1729</v>
      </c>
      <c r="I15" s="19"/>
      <c r="J15" s="19"/>
    </row>
  </sheetData>
  <mergeCells count="2">
    <mergeCell ref="A1:J1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7" min="7" style="0" width="28"/>
  </cols>
  <sheetData>
    <row r="1" customFormat="false" ht="30" hidden="false" customHeight="true" outlineLevel="0" collapsed="false">
      <c r="A1" s="20" t="s">
        <v>86</v>
      </c>
      <c r="B1" s="20"/>
      <c r="C1" s="20"/>
      <c r="D1" s="20"/>
      <c r="E1" s="20"/>
      <c r="F1" s="20"/>
      <c r="G1" s="20"/>
    </row>
    <row r="3" customFormat="false" ht="15" hidden="false" customHeight="false" outlineLevel="0" collapsed="false">
      <c r="A3" s="21" t="s">
        <v>87</v>
      </c>
      <c r="B3" s="21"/>
      <c r="C3" s="21"/>
      <c r="D3" s="21"/>
      <c r="E3" s="21"/>
      <c r="F3" s="21"/>
      <c r="G3" s="21"/>
    </row>
    <row r="4" customFormat="false" ht="15" hidden="false" customHeight="false" outlineLevel="0" collapsed="false">
      <c r="A4" s="10" t="s">
        <v>88</v>
      </c>
      <c r="B4" s="10" t="s">
        <v>89</v>
      </c>
      <c r="C4" s="10" t="s">
        <v>20</v>
      </c>
      <c r="D4" s="10" t="s">
        <v>51</v>
      </c>
      <c r="E4" s="10" t="s">
        <v>90</v>
      </c>
    </row>
    <row r="5" customFormat="false" ht="15" hidden="false" customHeight="false" outlineLevel="0" collapsed="false">
      <c r="A5" s="12" t="s">
        <v>91</v>
      </c>
      <c r="B5" s="12" t="n">
        <v>201</v>
      </c>
      <c r="C5" s="12" t="s">
        <v>92</v>
      </c>
      <c r="D5" s="12" t="s">
        <v>93</v>
      </c>
      <c r="E5" s="12" t="s">
        <v>94</v>
      </c>
    </row>
    <row r="6" customFormat="false" ht="15" hidden="false" customHeight="false" outlineLevel="0" collapsed="false">
      <c r="A6" s="11" t="s">
        <v>95</v>
      </c>
      <c r="B6" s="11" t="n">
        <v>747</v>
      </c>
      <c r="C6" s="11" t="s">
        <v>92</v>
      </c>
      <c r="D6" s="11" t="s">
        <v>93</v>
      </c>
      <c r="E6" s="11" t="s">
        <v>35</v>
      </c>
    </row>
    <row r="7" customFormat="false" ht="15" hidden="false" customHeight="false" outlineLevel="0" collapsed="false">
      <c r="A7" s="12" t="s">
        <v>96</v>
      </c>
      <c r="B7" s="12" t="n">
        <v>148</v>
      </c>
      <c r="C7" s="12" t="s">
        <v>97</v>
      </c>
      <c r="D7" s="12" t="s">
        <v>98</v>
      </c>
      <c r="E7" s="12" t="s">
        <v>99</v>
      </c>
    </row>
    <row r="8" customFormat="false" ht="15" hidden="false" customHeight="false" outlineLevel="0" collapsed="false">
      <c r="A8" s="11" t="s">
        <v>100</v>
      </c>
      <c r="B8" s="11" t="s">
        <v>101</v>
      </c>
      <c r="C8" s="11" t="s">
        <v>97</v>
      </c>
      <c r="D8" s="11" t="s">
        <v>102</v>
      </c>
      <c r="E8" s="11" t="s">
        <v>103</v>
      </c>
    </row>
    <row r="9" customFormat="false" ht="15" hidden="false" customHeight="false" outlineLevel="0" collapsed="false">
      <c r="A9" s="12" t="s">
        <v>104</v>
      </c>
      <c r="B9" s="12" t="s">
        <v>105</v>
      </c>
      <c r="C9" s="12" t="s">
        <v>97</v>
      </c>
      <c r="D9" s="12" t="s">
        <v>106</v>
      </c>
      <c r="E9" s="12" t="s">
        <v>107</v>
      </c>
    </row>
    <row r="10" customFormat="false" ht="15" hidden="false" customHeight="false" outlineLevel="0" collapsed="false">
      <c r="A10" s="11" t="s">
        <v>108</v>
      </c>
      <c r="B10" s="11" t="s">
        <v>109</v>
      </c>
      <c r="C10" s="11" t="s">
        <v>110</v>
      </c>
      <c r="D10" s="11"/>
      <c r="E10" s="11" t="s">
        <v>111</v>
      </c>
    </row>
    <row r="12" customFormat="false" ht="15" hidden="false" customHeight="false" outlineLevel="0" collapsed="false">
      <c r="A12" s="22" t="s">
        <v>112</v>
      </c>
      <c r="B12" s="22"/>
      <c r="C12" s="22"/>
      <c r="D12" s="22"/>
      <c r="E12" s="22"/>
      <c r="F12" s="22"/>
      <c r="G12" s="22"/>
    </row>
    <row r="13" customFormat="false" ht="15" hidden="false" customHeight="false" outlineLevel="0" collapsed="false">
      <c r="A13" s="10" t="s">
        <v>113</v>
      </c>
      <c r="B13" s="10" t="s">
        <v>114</v>
      </c>
      <c r="C13" s="10" t="s">
        <v>115</v>
      </c>
      <c r="D13" s="10" t="s">
        <v>116</v>
      </c>
      <c r="E13" s="10" t="s">
        <v>117</v>
      </c>
      <c r="F13" s="10" t="s">
        <v>43</v>
      </c>
      <c r="G13" s="10" t="s">
        <v>51</v>
      </c>
    </row>
    <row r="14" customFormat="false" ht="15" hidden="false" customHeight="false" outlineLevel="0" collapsed="false">
      <c r="A14" s="12" t="s">
        <v>118</v>
      </c>
      <c r="B14" s="12" t="s">
        <v>12</v>
      </c>
      <c r="C14" s="12" t="s">
        <v>119</v>
      </c>
      <c r="D14" s="12" t="s">
        <v>120</v>
      </c>
      <c r="E14" s="12" t="s">
        <v>121</v>
      </c>
      <c r="F14" s="12" t="s">
        <v>122</v>
      </c>
      <c r="G14" s="12" t="s">
        <v>123</v>
      </c>
    </row>
    <row r="15" customFormat="false" ht="15" hidden="false" customHeight="false" outlineLevel="0" collapsed="false">
      <c r="A15" s="11" t="s">
        <v>124</v>
      </c>
      <c r="B15" s="11" t="s">
        <v>125</v>
      </c>
      <c r="C15" s="11" t="s">
        <v>126</v>
      </c>
      <c r="D15" s="11"/>
      <c r="E15" s="11" t="s">
        <v>127</v>
      </c>
      <c r="F15" s="11" t="s">
        <v>122</v>
      </c>
      <c r="G15" s="11" t="s">
        <v>128</v>
      </c>
    </row>
    <row r="16" customFormat="false" ht="15" hidden="false" customHeight="false" outlineLevel="0" collapsed="false">
      <c r="A16" s="12" t="s">
        <v>129</v>
      </c>
      <c r="B16" s="12" t="s">
        <v>130</v>
      </c>
      <c r="C16" s="12" t="s">
        <v>131</v>
      </c>
      <c r="D16" s="12"/>
      <c r="E16" s="12" t="s">
        <v>132</v>
      </c>
      <c r="F16" s="12" t="s">
        <v>133</v>
      </c>
      <c r="G16" s="12" t="s">
        <v>134</v>
      </c>
    </row>
    <row r="17" customFormat="false" ht="15" hidden="false" customHeight="false" outlineLevel="0" collapsed="false">
      <c r="A17" s="11" t="s">
        <v>135</v>
      </c>
      <c r="B17" s="11" t="s">
        <v>136</v>
      </c>
      <c r="C17" s="11" t="s">
        <v>137</v>
      </c>
      <c r="D17" s="11"/>
      <c r="E17" s="11" t="s">
        <v>138</v>
      </c>
      <c r="F17" s="11" t="s">
        <v>139</v>
      </c>
      <c r="G17" s="11" t="s">
        <v>140</v>
      </c>
    </row>
    <row r="18" customFormat="false" ht="15" hidden="false" customHeight="false" outlineLevel="0" collapsed="false">
      <c r="A18" s="12" t="s">
        <v>141</v>
      </c>
      <c r="B18" s="12" t="s">
        <v>130</v>
      </c>
      <c r="C18" s="12" t="s">
        <v>142</v>
      </c>
      <c r="D18" s="12"/>
      <c r="E18" s="12" t="s">
        <v>143</v>
      </c>
      <c r="F18" s="12" t="s">
        <v>139</v>
      </c>
      <c r="G18" s="12" t="s">
        <v>144</v>
      </c>
    </row>
    <row r="19" customFormat="false" ht="15" hidden="false" customHeight="false" outlineLevel="0" collapsed="false">
      <c r="A19" s="11" t="s">
        <v>145</v>
      </c>
      <c r="B19" s="11" t="s">
        <v>130</v>
      </c>
      <c r="C19" s="11" t="s">
        <v>146</v>
      </c>
      <c r="D19" s="11"/>
      <c r="E19" s="11" t="s">
        <v>147</v>
      </c>
      <c r="F19" s="11" t="s">
        <v>139</v>
      </c>
      <c r="G19" s="11" t="s">
        <v>148</v>
      </c>
    </row>
    <row r="21" customFormat="false" ht="15" hidden="false" customHeight="false" outlineLevel="0" collapsed="false">
      <c r="A21" s="23" t="s">
        <v>149</v>
      </c>
      <c r="B21" s="23"/>
      <c r="C21" s="23"/>
      <c r="D21" s="23"/>
      <c r="E21" s="23"/>
      <c r="F21" s="23"/>
      <c r="G21" s="23"/>
    </row>
    <row r="22" customFormat="false" ht="15" hidden="false" customHeight="false" outlineLevel="0" collapsed="false">
      <c r="A22" s="10" t="s">
        <v>150</v>
      </c>
      <c r="B22" s="10" t="s">
        <v>151</v>
      </c>
      <c r="C22" s="10" t="s">
        <v>51</v>
      </c>
    </row>
    <row r="23" customFormat="false" ht="21.75" hidden="false" customHeight="true" outlineLevel="0" collapsed="false">
      <c r="A23" s="24" t="s">
        <v>152</v>
      </c>
      <c r="B23" s="24" t="s">
        <v>153</v>
      </c>
      <c r="C23" s="24" t="s">
        <v>154</v>
      </c>
    </row>
    <row r="24" customFormat="false" ht="21.75" hidden="false" customHeight="true" outlineLevel="0" collapsed="false">
      <c r="A24" s="25" t="s">
        <v>155</v>
      </c>
      <c r="B24" s="25" t="s">
        <v>156</v>
      </c>
      <c r="C24" s="25" t="s">
        <v>157</v>
      </c>
    </row>
    <row r="25" customFormat="false" ht="21.75" hidden="false" customHeight="true" outlineLevel="0" collapsed="false">
      <c r="A25" s="24" t="s">
        <v>158</v>
      </c>
      <c r="B25" s="24" t="s">
        <v>159</v>
      </c>
      <c r="C25" s="24" t="s">
        <v>154</v>
      </c>
    </row>
    <row r="26" customFormat="false" ht="21.75" hidden="false" customHeight="true" outlineLevel="0" collapsed="false">
      <c r="A26" s="25" t="s">
        <v>160</v>
      </c>
      <c r="B26" s="25" t="s">
        <v>161</v>
      </c>
      <c r="C26" s="25" t="s">
        <v>162</v>
      </c>
    </row>
    <row r="27" customFormat="false" ht="21.75" hidden="false" customHeight="true" outlineLevel="0" collapsed="false">
      <c r="A27" s="24" t="s">
        <v>163</v>
      </c>
      <c r="B27" s="24" t="s">
        <v>164</v>
      </c>
      <c r="C27" s="24" t="s">
        <v>154</v>
      </c>
    </row>
    <row r="28" customFormat="false" ht="21.75" hidden="false" customHeight="true" outlineLevel="0" collapsed="false">
      <c r="A28" s="25" t="s">
        <v>165</v>
      </c>
      <c r="B28" s="25" t="s">
        <v>166</v>
      </c>
      <c r="C28" s="25" t="s">
        <v>167</v>
      </c>
    </row>
    <row r="29" customFormat="false" ht="21.75" hidden="false" customHeight="true" outlineLevel="0" collapsed="false">
      <c r="A29" s="24" t="s">
        <v>168</v>
      </c>
      <c r="B29" s="24" t="s">
        <v>169</v>
      </c>
      <c r="C29" s="24" t="s">
        <v>170</v>
      </c>
    </row>
    <row r="30" customFormat="false" ht="21.75" hidden="false" customHeight="true" outlineLevel="0" collapsed="false">
      <c r="A30" s="25" t="s">
        <v>171</v>
      </c>
      <c r="B30" s="25" t="s">
        <v>172</v>
      </c>
      <c r="C30" s="25" t="s">
        <v>173</v>
      </c>
    </row>
  </sheetData>
  <mergeCells count="4">
    <mergeCell ref="A1:G1"/>
    <mergeCell ref="A3:G3"/>
    <mergeCell ref="A12:G12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  <col collapsed="false" customWidth="true" hidden="false" outlineLevel="0" max="5" min="5" style="0" width="30"/>
  </cols>
  <sheetData>
    <row r="1" customFormat="false" ht="30" hidden="false" customHeight="true" outlineLevel="0" collapsed="false">
      <c r="A1" s="26" t="s">
        <v>174</v>
      </c>
      <c r="B1" s="26"/>
      <c r="C1" s="26"/>
      <c r="D1" s="26"/>
      <c r="E1" s="26"/>
    </row>
    <row r="3" customFormat="false" ht="19.5" hidden="false" customHeight="true" outlineLevel="0" collapsed="false">
      <c r="A3" s="10" t="s">
        <v>175</v>
      </c>
      <c r="B3" s="10" t="s">
        <v>176</v>
      </c>
      <c r="C3" s="10" t="s">
        <v>177</v>
      </c>
      <c r="D3" s="10" t="s">
        <v>90</v>
      </c>
      <c r="E3" s="10" t="s">
        <v>51</v>
      </c>
    </row>
    <row r="4" customFormat="false" ht="19.5" hidden="false" customHeight="true" outlineLevel="0" collapsed="false">
      <c r="A4" s="25" t="s">
        <v>18</v>
      </c>
      <c r="B4" s="25" t="s">
        <v>30</v>
      </c>
      <c r="C4" s="25" t="s">
        <v>178</v>
      </c>
      <c r="D4" s="25" t="s">
        <v>179</v>
      </c>
      <c r="E4" s="25" t="s">
        <v>180</v>
      </c>
    </row>
    <row r="5" customFormat="false" ht="19.5" hidden="false" customHeight="true" outlineLevel="0" collapsed="false">
      <c r="A5" s="24" t="s">
        <v>181</v>
      </c>
      <c r="B5" s="24" t="s">
        <v>8</v>
      </c>
      <c r="C5" s="24" t="s">
        <v>182</v>
      </c>
      <c r="D5" s="24" t="s">
        <v>183</v>
      </c>
      <c r="E5" s="24" t="s">
        <v>184</v>
      </c>
    </row>
    <row r="6" customFormat="false" ht="19.5" hidden="false" customHeight="true" outlineLevel="0" collapsed="false">
      <c r="A6" s="25" t="s">
        <v>185</v>
      </c>
      <c r="B6" s="25" t="s">
        <v>9</v>
      </c>
      <c r="C6" s="25" t="s">
        <v>186</v>
      </c>
      <c r="D6" s="25" t="s">
        <v>35</v>
      </c>
      <c r="E6" s="25" t="s">
        <v>184</v>
      </c>
    </row>
    <row r="7" customFormat="false" ht="19.5" hidden="false" customHeight="true" outlineLevel="0" collapsed="false">
      <c r="A7" s="24" t="s">
        <v>187</v>
      </c>
      <c r="B7" s="24" t="s">
        <v>188</v>
      </c>
      <c r="C7" s="24" t="s">
        <v>189</v>
      </c>
      <c r="D7" s="24" t="s">
        <v>190</v>
      </c>
      <c r="E7" s="24" t="s">
        <v>162</v>
      </c>
    </row>
    <row r="8" customFormat="false" ht="19.5" hidden="false" customHeight="true" outlineLevel="0" collapsed="false">
      <c r="A8" s="25" t="s">
        <v>191</v>
      </c>
      <c r="B8" s="25" t="s">
        <v>192</v>
      </c>
      <c r="C8" s="25" t="s">
        <v>12</v>
      </c>
      <c r="D8" s="25" t="s">
        <v>193</v>
      </c>
      <c r="E8" s="25" t="s">
        <v>154</v>
      </c>
    </row>
    <row r="9" customFormat="false" ht="19.5" hidden="false" customHeight="true" outlineLevel="0" collapsed="false">
      <c r="A9" s="24" t="s">
        <v>194</v>
      </c>
      <c r="B9" s="24" t="s">
        <v>130</v>
      </c>
      <c r="C9" s="24" t="s">
        <v>195</v>
      </c>
      <c r="D9" s="24" t="s">
        <v>196</v>
      </c>
      <c r="E9" s="24" t="s">
        <v>154</v>
      </c>
    </row>
    <row r="10" customFormat="false" ht="19.5" hidden="false" customHeight="true" outlineLevel="0" collapsed="false">
      <c r="A10" s="25" t="s">
        <v>197</v>
      </c>
      <c r="B10" s="25" t="s">
        <v>10</v>
      </c>
      <c r="C10" s="25" t="s">
        <v>198</v>
      </c>
      <c r="D10" s="25" t="s">
        <v>35</v>
      </c>
      <c r="E10" s="25" t="s">
        <v>128</v>
      </c>
    </row>
    <row r="11" customFormat="false" ht="19.5" hidden="false" customHeight="true" outlineLevel="0" collapsed="false">
      <c r="A11" s="24" t="s">
        <v>199</v>
      </c>
      <c r="B11" s="24" t="s">
        <v>200</v>
      </c>
      <c r="C11" s="24" t="s">
        <v>201</v>
      </c>
      <c r="D11" s="24" t="s">
        <v>202</v>
      </c>
      <c r="E11" s="24" t="s">
        <v>106</v>
      </c>
    </row>
    <row r="12" customFormat="false" ht="19.5" hidden="false" customHeight="true" outlineLevel="0" collapsed="false">
      <c r="A12" s="25" t="s">
        <v>203</v>
      </c>
      <c r="B12" s="25" t="s">
        <v>204</v>
      </c>
      <c r="C12" s="25" t="s">
        <v>205</v>
      </c>
      <c r="D12" s="25" t="s">
        <v>206</v>
      </c>
      <c r="E12" s="25" t="s">
        <v>154</v>
      </c>
    </row>
    <row r="13" customFormat="false" ht="19.5" hidden="false" customHeight="true" outlineLevel="0" collapsed="false">
      <c r="A13" s="24" t="s">
        <v>207</v>
      </c>
      <c r="B13" s="24" t="s">
        <v>130</v>
      </c>
      <c r="C13" s="24" t="s">
        <v>208</v>
      </c>
      <c r="D13" s="24" t="s">
        <v>209</v>
      </c>
      <c r="E13" s="24" t="s">
        <v>162</v>
      </c>
    </row>
    <row r="14" customFormat="false" ht="19.5" hidden="false" customHeight="true" outlineLevel="0" collapsed="false">
      <c r="A14" s="25" t="s">
        <v>210</v>
      </c>
      <c r="B14" s="25" t="s">
        <v>211</v>
      </c>
      <c r="C14" s="25" t="s">
        <v>212</v>
      </c>
      <c r="D14" s="25"/>
      <c r="E14" s="25" t="s">
        <v>213</v>
      </c>
    </row>
    <row r="15" customFormat="false" ht="19.5" hidden="false" customHeight="true" outlineLevel="0" collapsed="false">
      <c r="A15" s="24" t="s">
        <v>214</v>
      </c>
      <c r="B15" s="24" t="s">
        <v>215</v>
      </c>
      <c r="C15" s="24" t="s">
        <v>216</v>
      </c>
      <c r="D15" s="24"/>
      <c r="E15" s="24" t="s">
        <v>217</v>
      </c>
    </row>
    <row r="16" customFormat="false" ht="19.5" hidden="false" customHeight="true" outlineLevel="0" collapsed="false">
      <c r="A16" s="25" t="s">
        <v>218</v>
      </c>
      <c r="B16" s="25" t="s">
        <v>219</v>
      </c>
      <c r="C16" s="25" t="s">
        <v>220</v>
      </c>
      <c r="D16" s="25" t="s">
        <v>221</v>
      </c>
      <c r="E16" s="25" t="s">
        <v>106</v>
      </c>
    </row>
    <row r="17" customFormat="false" ht="19.5" hidden="false" customHeight="true" outlineLevel="0" collapsed="false">
      <c r="A17" s="24" t="s">
        <v>222</v>
      </c>
      <c r="B17" s="24" t="s">
        <v>223</v>
      </c>
      <c r="C17" s="24" t="s">
        <v>224</v>
      </c>
      <c r="D17" s="24" t="s">
        <v>225</v>
      </c>
      <c r="E17" s="24" t="s">
        <v>226</v>
      </c>
    </row>
    <row r="18" customFormat="false" ht="19.5" hidden="false" customHeight="true" outlineLevel="0" collapsed="false">
      <c r="A18" s="25" t="s">
        <v>227</v>
      </c>
      <c r="B18" s="25" t="s">
        <v>228</v>
      </c>
      <c r="C18" s="25" t="s">
        <v>229</v>
      </c>
      <c r="D18" s="25"/>
      <c r="E18" s="25" t="s">
        <v>230</v>
      </c>
    </row>
    <row r="19" customFormat="false" ht="19.5" hidden="false" customHeight="true" outlineLevel="0" collapsed="false">
      <c r="A19" s="24" t="s">
        <v>32</v>
      </c>
      <c r="B19" s="24" t="s">
        <v>231</v>
      </c>
      <c r="C19" s="24" t="s">
        <v>232</v>
      </c>
      <c r="D19" s="24"/>
      <c r="E19" s="24" t="s">
        <v>180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0"/>
    <col collapsed="false" customWidth="true" hidden="false" outlineLevel="0" max="4" min="4" style="0" width="25"/>
  </cols>
  <sheetData>
    <row r="1" customFormat="false" ht="30" hidden="false" customHeight="true" outlineLevel="0" collapsed="false">
      <c r="A1" s="27" t="s">
        <v>233</v>
      </c>
      <c r="B1" s="27"/>
      <c r="C1" s="27"/>
      <c r="D1" s="27"/>
    </row>
    <row r="2" customFormat="false" ht="15" hidden="false" customHeight="false" outlineLevel="0" collapsed="false">
      <c r="A2" s="23" t="s">
        <v>234</v>
      </c>
      <c r="B2" s="23"/>
      <c r="C2" s="23"/>
      <c r="D2" s="23"/>
    </row>
    <row r="4" customFormat="false" ht="21.75" hidden="false" customHeight="true" outlineLevel="0" collapsed="false">
      <c r="A4" s="10" t="s">
        <v>235</v>
      </c>
      <c r="B4" s="10" t="s">
        <v>236</v>
      </c>
      <c r="C4" s="10" t="s">
        <v>237</v>
      </c>
      <c r="D4" s="10" t="s">
        <v>238</v>
      </c>
    </row>
    <row r="5" customFormat="false" ht="75" hidden="false" customHeight="true" outlineLevel="0" collapsed="false">
      <c r="A5" s="28" t="s">
        <v>239</v>
      </c>
      <c r="B5" s="29" t="s">
        <v>240</v>
      </c>
      <c r="C5" s="30" t="s">
        <v>241</v>
      </c>
      <c r="D5" s="30" t="s">
        <v>242</v>
      </c>
    </row>
    <row r="6" customFormat="false" ht="75" hidden="false" customHeight="true" outlineLevel="0" collapsed="false">
      <c r="A6" s="31" t="s">
        <v>243</v>
      </c>
      <c r="B6" s="32" t="s">
        <v>244</v>
      </c>
      <c r="C6" s="33" t="s">
        <v>245</v>
      </c>
      <c r="D6" s="33" t="s">
        <v>246</v>
      </c>
    </row>
    <row r="7" customFormat="false" ht="75" hidden="false" customHeight="true" outlineLevel="0" collapsed="false">
      <c r="A7" s="28" t="s">
        <v>247</v>
      </c>
      <c r="B7" s="29" t="s">
        <v>248</v>
      </c>
      <c r="C7" s="30" t="s">
        <v>249</v>
      </c>
      <c r="D7" s="30" t="s">
        <v>250</v>
      </c>
    </row>
    <row r="8" customFormat="false" ht="75" hidden="false" customHeight="true" outlineLevel="0" collapsed="false">
      <c r="A8" s="31" t="s">
        <v>251</v>
      </c>
      <c r="B8" s="32" t="s">
        <v>252</v>
      </c>
      <c r="C8" s="33" t="s">
        <v>253</v>
      </c>
      <c r="D8" s="33" t="s">
        <v>254</v>
      </c>
    </row>
    <row r="9" customFormat="false" ht="75" hidden="false" customHeight="true" outlineLevel="0" collapsed="false">
      <c r="A9" s="28" t="s">
        <v>255</v>
      </c>
      <c r="B9" s="29" t="s">
        <v>256</v>
      </c>
      <c r="C9" s="30" t="s">
        <v>257</v>
      </c>
      <c r="D9" s="30" t="s">
        <v>258</v>
      </c>
    </row>
    <row r="10" customFormat="false" ht="75" hidden="false" customHeight="true" outlineLevel="0" collapsed="false">
      <c r="A10" s="31" t="s">
        <v>259</v>
      </c>
      <c r="B10" s="32" t="s">
        <v>260</v>
      </c>
      <c r="C10" s="33" t="s">
        <v>261</v>
      </c>
      <c r="D10" s="33" t="s">
        <v>262</v>
      </c>
    </row>
    <row r="11" customFormat="false" ht="75" hidden="false" customHeight="true" outlineLevel="0" collapsed="false">
      <c r="A11" s="28" t="s">
        <v>263</v>
      </c>
      <c r="B11" s="29" t="s">
        <v>264</v>
      </c>
      <c r="C11" s="30" t="s">
        <v>265</v>
      </c>
      <c r="D11" s="30" t="s">
        <v>266</v>
      </c>
    </row>
    <row r="12" customFormat="false" ht="75" hidden="false" customHeight="true" outlineLevel="0" collapsed="false">
      <c r="A12" s="31" t="s">
        <v>267</v>
      </c>
      <c r="B12" s="32" t="s">
        <v>268</v>
      </c>
      <c r="C12" s="33" t="s">
        <v>269</v>
      </c>
      <c r="D12" s="33" t="s">
        <v>270</v>
      </c>
    </row>
    <row r="13" customFormat="false" ht="75" hidden="false" customHeight="true" outlineLevel="0" collapsed="false">
      <c r="A13" s="28" t="s">
        <v>271</v>
      </c>
      <c r="B13" s="29" t="s">
        <v>272</v>
      </c>
      <c r="C13" s="30" t="s">
        <v>273</v>
      </c>
      <c r="D13" s="30" t="s">
        <v>274</v>
      </c>
    </row>
    <row r="14" customFormat="false" ht="75" hidden="false" customHeight="true" outlineLevel="0" collapsed="false">
      <c r="A14" s="31" t="s">
        <v>275</v>
      </c>
      <c r="B14" s="32" t="s">
        <v>276</v>
      </c>
      <c r="C14" s="33" t="s">
        <v>277</v>
      </c>
      <c r="D14" s="33" t="s">
        <v>278</v>
      </c>
    </row>
    <row r="15" customFormat="false" ht="75" hidden="false" customHeight="true" outlineLevel="0" collapsed="false">
      <c r="A15" s="28" t="s">
        <v>279</v>
      </c>
      <c r="B15" s="29" t="s">
        <v>280</v>
      </c>
      <c r="C15" s="30" t="s">
        <v>281</v>
      </c>
      <c r="D15" s="30" t="s">
        <v>282</v>
      </c>
    </row>
    <row r="18" customFormat="false" ht="24.75" hidden="false" customHeight="true" outlineLevel="0" collapsed="false">
      <c r="A18" s="34" t="s">
        <v>283</v>
      </c>
      <c r="B18" s="34"/>
      <c r="C18" s="34"/>
      <c r="D18" s="34"/>
    </row>
    <row r="19" customFormat="false" ht="15" hidden="false" customHeight="false" outlineLevel="0" collapsed="false">
      <c r="A19" s="10" t="s">
        <v>284</v>
      </c>
      <c r="B19" s="10" t="s">
        <v>285</v>
      </c>
      <c r="C19" s="10" t="s">
        <v>286</v>
      </c>
      <c r="D19" s="10" t="s">
        <v>287</v>
      </c>
    </row>
    <row r="20" customFormat="false" ht="19.5" hidden="false" customHeight="true" outlineLevel="0" collapsed="false">
      <c r="A20" s="24" t="s">
        <v>288</v>
      </c>
      <c r="B20" s="24" t="s">
        <v>289</v>
      </c>
      <c r="C20" s="24" t="s">
        <v>290</v>
      </c>
      <c r="D20" s="24" t="s">
        <v>291</v>
      </c>
    </row>
    <row r="21" customFormat="false" ht="19.5" hidden="false" customHeight="true" outlineLevel="0" collapsed="false">
      <c r="A21" s="25" t="s">
        <v>292</v>
      </c>
      <c r="B21" s="25" t="s">
        <v>289</v>
      </c>
      <c r="C21" s="25" t="s">
        <v>293</v>
      </c>
      <c r="D21" s="25" t="s">
        <v>294</v>
      </c>
    </row>
    <row r="22" customFormat="false" ht="19.5" hidden="false" customHeight="true" outlineLevel="0" collapsed="false">
      <c r="A22" s="24" t="s">
        <v>295</v>
      </c>
      <c r="B22" s="24" t="s">
        <v>296</v>
      </c>
      <c r="C22" s="24" t="s">
        <v>297</v>
      </c>
      <c r="D22" s="24" t="s">
        <v>298</v>
      </c>
    </row>
    <row r="23" customFormat="false" ht="19.5" hidden="false" customHeight="true" outlineLevel="0" collapsed="false">
      <c r="A23" s="25" t="s">
        <v>299</v>
      </c>
      <c r="B23" s="25" t="s">
        <v>300</v>
      </c>
      <c r="C23" s="25" t="s">
        <v>301</v>
      </c>
      <c r="D23" s="25" t="s">
        <v>302</v>
      </c>
    </row>
    <row r="24" customFormat="false" ht="19.5" hidden="false" customHeight="true" outlineLevel="0" collapsed="false">
      <c r="A24" s="24" t="s">
        <v>303</v>
      </c>
      <c r="B24" s="24" t="s">
        <v>304</v>
      </c>
      <c r="C24" s="24" t="s">
        <v>305</v>
      </c>
      <c r="D24" s="24" t="s">
        <v>294</v>
      </c>
    </row>
    <row r="25" customFormat="false" ht="19.5" hidden="false" customHeight="true" outlineLevel="0" collapsed="false">
      <c r="A25" s="25" t="s">
        <v>306</v>
      </c>
      <c r="B25" s="25" t="s">
        <v>307</v>
      </c>
      <c r="C25" s="25" t="s">
        <v>308</v>
      </c>
      <c r="D25" s="25" t="s">
        <v>302</v>
      </c>
    </row>
    <row r="26" customFormat="false" ht="19.5" hidden="false" customHeight="true" outlineLevel="0" collapsed="false">
      <c r="A26" s="24" t="s">
        <v>309</v>
      </c>
      <c r="B26" s="24" t="s">
        <v>310</v>
      </c>
      <c r="C26" s="24" t="s">
        <v>311</v>
      </c>
      <c r="D26" s="24" t="s">
        <v>294</v>
      </c>
    </row>
    <row r="27" customFormat="false" ht="19.5" hidden="false" customHeight="true" outlineLevel="0" collapsed="false">
      <c r="A27" s="25" t="s">
        <v>312</v>
      </c>
      <c r="B27" s="25" t="s">
        <v>313</v>
      </c>
      <c r="C27" s="25" t="s">
        <v>314</v>
      </c>
      <c r="D27" s="25" t="s">
        <v>294</v>
      </c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2"/>
    <col collapsed="false" customWidth="true" hidden="false" outlineLevel="0" max="9" min="7" style="0" width="14"/>
    <col collapsed="false" customWidth="true" hidden="false" outlineLevel="0" max="12" min="10" style="0" width="12"/>
    <col collapsed="false" customWidth="true" hidden="false" outlineLevel="0" max="15" min="13" style="0" width="14"/>
  </cols>
  <sheetData>
    <row r="1" customFormat="false" ht="27.75" hidden="false" customHeight="true" outlineLevel="0" collapsed="false">
      <c r="A1" s="35" t="s">
        <v>315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customFormat="false" ht="30" hidden="false" customHeight="true" outlineLevel="0" collapsed="false">
      <c r="A2" s="36" t="s">
        <v>316</v>
      </c>
      <c r="B2" s="36" t="s">
        <v>317</v>
      </c>
      <c r="C2" s="36" t="s">
        <v>318</v>
      </c>
      <c r="D2" s="36" t="s">
        <v>319</v>
      </c>
      <c r="E2" s="36" t="s">
        <v>320</v>
      </c>
      <c r="F2" s="36" t="s">
        <v>321</v>
      </c>
      <c r="G2" s="36" t="s">
        <v>322</v>
      </c>
      <c r="H2" s="36" t="s">
        <v>323</v>
      </c>
      <c r="I2" s="36" t="s">
        <v>324</v>
      </c>
      <c r="J2" s="36" t="s">
        <v>325</v>
      </c>
      <c r="K2" s="36" t="s">
        <v>326</v>
      </c>
      <c r="L2" s="36" t="s">
        <v>327</v>
      </c>
      <c r="M2" s="36" t="s">
        <v>328</v>
      </c>
      <c r="N2" s="36" t="s">
        <v>329</v>
      </c>
      <c r="O2" s="36" t="s">
        <v>330</v>
      </c>
    </row>
    <row r="3" customFormat="false" ht="15.75" hidden="false" customHeight="true" outlineLevel="0" collapsed="false">
      <c r="A3" s="37" t="n">
        <v>1</v>
      </c>
      <c r="B3" s="37" t="n">
        <v>1</v>
      </c>
      <c r="C3" s="37" t="s">
        <v>331</v>
      </c>
      <c r="D3" s="37" t="n">
        <v>100</v>
      </c>
      <c r="E3" s="37" t="n">
        <v>1</v>
      </c>
      <c r="F3" s="37" t="n">
        <v>0</v>
      </c>
      <c r="G3" s="37" t="n">
        <v>200</v>
      </c>
      <c r="H3" s="37" t="n">
        <v>0.85</v>
      </c>
      <c r="I3" s="37" t="n">
        <v>0</v>
      </c>
      <c r="J3" s="37" t="n">
        <v>6</v>
      </c>
      <c r="K3" s="37" t="n">
        <v>203</v>
      </c>
      <c r="L3" s="37" t="n">
        <v>570</v>
      </c>
      <c r="M3" s="37" t="n">
        <v>0</v>
      </c>
      <c r="N3" s="37" t="n">
        <v>203</v>
      </c>
      <c r="O3" s="37" t="n">
        <v>3</v>
      </c>
    </row>
    <row r="4" customFormat="false" ht="15.75" hidden="false" customHeight="true" outlineLevel="0" collapsed="false">
      <c r="A4" s="38" t="n">
        <v>1</v>
      </c>
      <c r="B4" s="38" t="n">
        <v>2</v>
      </c>
      <c r="C4" s="38" t="s">
        <v>332</v>
      </c>
      <c r="D4" s="38" t="n">
        <v>35</v>
      </c>
      <c r="E4" s="38" t="n">
        <v>0</v>
      </c>
      <c r="F4" s="38" t="n">
        <v>0</v>
      </c>
      <c r="G4" s="38" t="n">
        <v>50</v>
      </c>
      <c r="H4" s="38" t="n">
        <v>0.8</v>
      </c>
      <c r="I4" s="38" t="n">
        <v>0</v>
      </c>
      <c r="J4" s="38" t="n">
        <v>1</v>
      </c>
      <c r="K4" s="38" t="n">
        <v>78</v>
      </c>
      <c r="L4" s="38" t="n">
        <v>200</v>
      </c>
      <c r="M4" s="38" t="n">
        <v>203</v>
      </c>
      <c r="N4" s="38" t="n">
        <v>281</v>
      </c>
      <c r="O4" s="38" t="n">
        <v>3</v>
      </c>
    </row>
    <row r="5" customFormat="false" ht="15.75" hidden="false" customHeight="true" outlineLevel="0" collapsed="false">
      <c r="A5" s="37" t="n">
        <v>1</v>
      </c>
      <c r="B5" s="37" t="n">
        <v>3</v>
      </c>
      <c r="C5" s="37" t="s">
        <v>333</v>
      </c>
      <c r="D5" s="37" t="n">
        <v>45</v>
      </c>
      <c r="E5" s="37" t="n">
        <v>1</v>
      </c>
      <c r="F5" s="37" t="n">
        <v>80</v>
      </c>
      <c r="G5" s="37" t="n">
        <v>60</v>
      </c>
      <c r="H5" s="37" t="n">
        <v>0.82</v>
      </c>
      <c r="I5" s="37" t="n">
        <v>0</v>
      </c>
      <c r="J5" s="37" t="n">
        <v>0</v>
      </c>
      <c r="K5" s="37" t="n">
        <v>121</v>
      </c>
      <c r="L5" s="37" t="n">
        <v>330</v>
      </c>
      <c r="M5" s="37" t="n">
        <v>78</v>
      </c>
      <c r="N5" s="37" t="n">
        <v>402</v>
      </c>
      <c r="O5" s="37" t="n">
        <v>4</v>
      </c>
    </row>
    <row r="6" customFormat="false" ht="15.75" hidden="false" customHeight="true" outlineLevel="0" collapsed="false">
      <c r="A6" s="38" t="n">
        <v>1</v>
      </c>
      <c r="B6" s="38" t="n">
        <v>4</v>
      </c>
      <c r="C6" s="38" t="s">
        <v>334</v>
      </c>
      <c r="D6" s="38" t="n">
        <v>40</v>
      </c>
      <c r="E6" s="38" t="n">
        <v>0</v>
      </c>
      <c r="F6" s="38" t="n">
        <v>120</v>
      </c>
      <c r="G6" s="38" t="n">
        <v>40</v>
      </c>
      <c r="H6" s="38" t="n">
        <v>0.88</v>
      </c>
      <c r="I6" s="38" t="n">
        <v>0</v>
      </c>
      <c r="J6" s="38" t="n">
        <v>1</v>
      </c>
      <c r="K6" s="38" t="n">
        <v>56</v>
      </c>
      <c r="L6" s="38" t="n">
        <v>180</v>
      </c>
      <c r="M6" s="38" t="n">
        <v>121</v>
      </c>
      <c r="N6" s="38" t="n">
        <v>458</v>
      </c>
      <c r="O6" s="38" t="n">
        <v>4</v>
      </c>
    </row>
    <row r="7" customFormat="false" ht="15.75" hidden="false" customHeight="true" outlineLevel="0" collapsed="false">
      <c r="A7" s="37" t="n">
        <v>1</v>
      </c>
      <c r="B7" s="37" t="n">
        <v>5</v>
      </c>
      <c r="C7" s="37" t="s">
        <v>335</v>
      </c>
      <c r="D7" s="37" t="n">
        <v>30</v>
      </c>
      <c r="E7" s="37" t="n">
        <v>0</v>
      </c>
      <c r="F7" s="37" t="n">
        <v>60</v>
      </c>
      <c r="G7" s="37" t="n">
        <v>30</v>
      </c>
      <c r="H7" s="37" t="n">
        <v>0.89</v>
      </c>
      <c r="I7" s="37" t="n">
        <v>0</v>
      </c>
      <c r="J7" s="37" t="n">
        <v>0</v>
      </c>
      <c r="K7" s="37" t="n">
        <v>45</v>
      </c>
      <c r="L7" s="37" t="n">
        <v>120</v>
      </c>
      <c r="M7" s="37" t="n">
        <v>56</v>
      </c>
      <c r="N7" s="37" t="n">
        <v>503</v>
      </c>
      <c r="O7" s="37" t="n">
        <v>3</v>
      </c>
    </row>
    <row r="8" customFormat="false" ht="15.75" hidden="false" customHeight="true" outlineLevel="0" collapsed="false">
      <c r="A8" s="38" t="n">
        <v>1</v>
      </c>
      <c r="B8" s="38" t="n">
        <v>6</v>
      </c>
      <c r="C8" s="38" t="s">
        <v>336</v>
      </c>
      <c r="D8" s="38" t="n">
        <v>50</v>
      </c>
      <c r="E8" s="38" t="n">
        <v>1</v>
      </c>
      <c r="F8" s="38" t="n">
        <v>100</v>
      </c>
      <c r="G8" s="38" t="n">
        <v>80</v>
      </c>
      <c r="H8" s="38" t="n">
        <v>0.87</v>
      </c>
      <c r="I8" s="38" t="n">
        <v>0</v>
      </c>
      <c r="J8" s="38" t="n">
        <v>0</v>
      </c>
      <c r="K8" s="38" t="n">
        <v>60</v>
      </c>
      <c r="L8" s="38" t="n">
        <v>150</v>
      </c>
      <c r="M8" s="38" t="n">
        <v>45</v>
      </c>
      <c r="N8" s="38" t="n">
        <v>563</v>
      </c>
      <c r="O8" s="38" t="n">
        <v>4</v>
      </c>
    </row>
    <row r="9" customFormat="false" ht="15.75" hidden="false" customHeight="true" outlineLevel="0" collapsed="false">
      <c r="A9" s="37" t="n">
        <v>1</v>
      </c>
      <c r="B9" s="37" t="n">
        <v>7</v>
      </c>
      <c r="C9" s="37" t="s">
        <v>337</v>
      </c>
      <c r="D9" s="37" t="n">
        <v>25</v>
      </c>
      <c r="E9" s="37" t="n">
        <v>0</v>
      </c>
      <c r="F9" s="37" t="n">
        <v>50</v>
      </c>
      <c r="G9" s="37" t="n">
        <v>30</v>
      </c>
      <c r="H9" s="37" t="n">
        <v>0.9</v>
      </c>
      <c r="I9" s="37" t="n">
        <v>0</v>
      </c>
      <c r="J9" s="37" t="n">
        <v>0</v>
      </c>
      <c r="K9" s="37" t="n">
        <v>38</v>
      </c>
      <c r="L9" s="37" t="n">
        <v>95</v>
      </c>
      <c r="M9" s="37" t="n">
        <v>60</v>
      </c>
      <c r="N9" s="37" t="n">
        <v>601</v>
      </c>
      <c r="O9" s="37" t="n">
        <v>3</v>
      </c>
    </row>
    <row r="10" customFormat="false" ht="15.75" hidden="false" customHeight="true" outlineLevel="0" collapsed="false">
      <c r="A10" s="38" t="n">
        <v>1</v>
      </c>
      <c r="B10" s="38" t="n">
        <v>8</v>
      </c>
      <c r="C10" s="38" t="s">
        <v>338</v>
      </c>
      <c r="D10" s="38" t="n">
        <v>40</v>
      </c>
      <c r="E10" s="38" t="n">
        <v>1</v>
      </c>
      <c r="F10" s="38" t="n">
        <v>60</v>
      </c>
      <c r="G10" s="38" t="n">
        <v>50</v>
      </c>
      <c r="H10" s="38" t="n">
        <v>0.88</v>
      </c>
      <c r="I10" s="38" t="n">
        <v>0</v>
      </c>
      <c r="J10" s="38" t="n">
        <v>0</v>
      </c>
      <c r="K10" s="38" t="n">
        <v>70</v>
      </c>
      <c r="L10" s="38" t="n">
        <v>210</v>
      </c>
      <c r="M10" s="38" t="n">
        <v>38</v>
      </c>
      <c r="N10" s="38" t="n">
        <v>671</v>
      </c>
      <c r="O10" s="38" t="n">
        <v>4</v>
      </c>
    </row>
    <row r="11" customFormat="false" ht="15.75" hidden="false" customHeight="true" outlineLevel="0" collapsed="false">
      <c r="A11" s="37" t="n">
        <v>1</v>
      </c>
      <c r="B11" s="37" t="n">
        <v>9</v>
      </c>
      <c r="C11" s="37" t="s">
        <v>339</v>
      </c>
      <c r="D11" s="37" t="n">
        <v>30</v>
      </c>
      <c r="E11" s="37" t="n">
        <v>0</v>
      </c>
      <c r="F11" s="37" t="n">
        <v>30</v>
      </c>
      <c r="G11" s="37" t="n">
        <v>30</v>
      </c>
      <c r="H11" s="37" t="n">
        <v>0.91</v>
      </c>
      <c r="I11" s="37" t="n">
        <v>0</v>
      </c>
      <c r="J11" s="37" t="n">
        <v>0</v>
      </c>
      <c r="K11" s="37" t="n">
        <v>50</v>
      </c>
      <c r="L11" s="37" t="n">
        <v>130</v>
      </c>
      <c r="M11" s="37" t="n">
        <v>70</v>
      </c>
      <c r="N11" s="37" t="n">
        <v>721</v>
      </c>
      <c r="O11" s="37" t="n">
        <v>3</v>
      </c>
    </row>
    <row r="12" customFormat="false" ht="15.75" hidden="false" customHeight="true" outlineLevel="0" collapsed="false">
      <c r="A12" s="38" t="n">
        <v>1</v>
      </c>
      <c r="B12" s="38" t="n">
        <v>10</v>
      </c>
      <c r="C12" s="38" t="s">
        <v>340</v>
      </c>
      <c r="D12" s="38" t="n">
        <v>60</v>
      </c>
      <c r="E12" s="38" t="n">
        <v>1</v>
      </c>
      <c r="F12" s="38" t="n">
        <v>80</v>
      </c>
      <c r="G12" s="38" t="n">
        <v>40</v>
      </c>
      <c r="H12" s="38" t="n">
        <v>0.92</v>
      </c>
      <c r="I12" s="38" t="n">
        <v>0</v>
      </c>
      <c r="J12" s="38" t="n">
        <v>0</v>
      </c>
      <c r="K12" s="38" t="n">
        <v>100</v>
      </c>
      <c r="L12" s="38" t="n">
        <v>280</v>
      </c>
      <c r="M12" s="38" t="n">
        <v>50</v>
      </c>
      <c r="N12" s="38" t="n">
        <v>821</v>
      </c>
      <c r="O12" s="38" t="n">
        <v>5</v>
      </c>
    </row>
    <row r="13" customFormat="false" ht="15.75" hidden="false" customHeight="true" outlineLevel="0" collapsed="false">
      <c r="A13" s="37" t="n">
        <v>1</v>
      </c>
      <c r="B13" s="37" t="n">
        <v>11</v>
      </c>
      <c r="C13" s="37" t="s">
        <v>341</v>
      </c>
      <c r="D13" s="37" t="n">
        <v>45</v>
      </c>
      <c r="E13" s="37" t="n">
        <v>1</v>
      </c>
      <c r="F13" s="37" t="n">
        <v>40</v>
      </c>
      <c r="G13" s="37" t="n">
        <v>35</v>
      </c>
      <c r="H13" s="37" t="n">
        <v>0.9</v>
      </c>
      <c r="I13" s="37" t="n">
        <v>0</v>
      </c>
      <c r="J13" s="37" t="n">
        <v>0</v>
      </c>
      <c r="K13" s="37" t="n">
        <v>65</v>
      </c>
      <c r="L13" s="37" t="n">
        <v>170</v>
      </c>
      <c r="M13" s="37" t="n">
        <v>100</v>
      </c>
      <c r="N13" s="37" t="n">
        <v>886</v>
      </c>
      <c r="O13" s="37" t="n">
        <v>4</v>
      </c>
    </row>
    <row r="14" customFormat="false" ht="15.75" hidden="false" customHeight="true" outlineLevel="0" collapsed="false">
      <c r="A14" s="38" t="n">
        <v>1</v>
      </c>
      <c r="B14" s="38" t="n">
        <v>12</v>
      </c>
      <c r="C14" s="38" t="s">
        <v>342</v>
      </c>
      <c r="D14" s="38" t="n">
        <v>35</v>
      </c>
      <c r="E14" s="38" t="n">
        <v>1</v>
      </c>
      <c r="F14" s="38" t="n">
        <v>20</v>
      </c>
      <c r="G14" s="38" t="n">
        <v>25</v>
      </c>
      <c r="H14" s="38" t="n">
        <v>0.93</v>
      </c>
      <c r="I14" s="38" t="n">
        <v>0</v>
      </c>
      <c r="J14" s="38" t="n">
        <v>0</v>
      </c>
      <c r="K14" s="38" t="n">
        <v>104</v>
      </c>
      <c r="L14" s="38" t="n">
        <v>300</v>
      </c>
      <c r="M14" s="38" t="n">
        <v>65</v>
      </c>
      <c r="N14" s="38" t="n">
        <v>990</v>
      </c>
      <c r="O14" s="38" t="n">
        <v>3</v>
      </c>
    </row>
    <row r="15" customFormat="false" ht="15.75" hidden="false" customHeight="true" outlineLevel="0" collapsed="false">
      <c r="A15" s="37" t="n">
        <v>2</v>
      </c>
      <c r="B15" s="37" t="n">
        <v>1</v>
      </c>
      <c r="C15" s="37" t="s">
        <v>343</v>
      </c>
      <c r="D15" s="37" t="n">
        <v>150</v>
      </c>
      <c r="E15" s="37" t="n">
        <v>1</v>
      </c>
      <c r="F15" s="37" t="n">
        <v>200</v>
      </c>
      <c r="G15" s="37" t="n">
        <v>300</v>
      </c>
      <c r="H15" s="37" t="n">
        <v>0.85</v>
      </c>
      <c r="I15" s="37" t="n">
        <v>8</v>
      </c>
      <c r="J15" s="37" t="n">
        <v>6</v>
      </c>
      <c r="K15" s="37" t="n">
        <v>120</v>
      </c>
      <c r="L15" s="37" t="n">
        <v>420</v>
      </c>
      <c r="M15" s="37" t="n">
        <v>0</v>
      </c>
      <c r="N15" s="37" t="n">
        <v>120</v>
      </c>
      <c r="O15" s="37" t="n">
        <v>5</v>
      </c>
    </row>
    <row r="16" customFormat="false" ht="15.75" hidden="false" customHeight="true" outlineLevel="0" collapsed="false">
      <c r="A16" s="38" t="n">
        <v>2</v>
      </c>
      <c r="B16" s="38" t="n">
        <v>2</v>
      </c>
      <c r="C16" s="38" t="s">
        <v>344</v>
      </c>
      <c r="D16" s="38" t="n">
        <v>80</v>
      </c>
      <c r="E16" s="38" t="n">
        <v>1</v>
      </c>
      <c r="F16" s="38" t="n">
        <v>400</v>
      </c>
      <c r="G16" s="38" t="n">
        <v>200</v>
      </c>
      <c r="H16" s="38" t="n">
        <v>0.78</v>
      </c>
      <c r="I16" s="38" t="n">
        <v>8</v>
      </c>
      <c r="J16" s="38" t="n">
        <v>2</v>
      </c>
      <c r="K16" s="38" t="n">
        <v>81</v>
      </c>
      <c r="L16" s="38" t="n">
        <v>327</v>
      </c>
      <c r="M16" s="38" t="n">
        <v>120</v>
      </c>
      <c r="N16" s="38" t="n">
        <v>201</v>
      </c>
      <c r="O16" s="38" t="n">
        <v>5</v>
      </c>
    </row>
    <row r="17" customFormat="false" ht="15.75" hidden="false" customHeight="true" outlineLevel="0" collapsed="false">
      <c r="A17" s="37" t="n">
        <v>2</v>
      </c>
      <c r="B17" s="37" t="n">
        <v>3</v>
      </c>
      <c r="C17" s="37" t="s">
        <v>345</v>
      </c>
      <c r="D17" s="37" t="n">
        <v>60</v>
      </c>
      <c r="E17" s="37" t="n">
        <v>0</v>
      </c>
      <c r="F17" s="37" t="n">
        <v>200</v>
      </c>
      <c r="G17" s="37" t="n">
        <v>100</v>
      </c>
      <c r="H17" s="37" t="n">
        <v>0.82</v>
      </c>
      <c r="I17" s="37" t="n">
        <v>8</v>
      </c>
      <c r="J17" s="37" t="n">
        <v>0</v>
      </c>
      <c r="K17" s="37" t="n">
        <v>30</v>
      </c>
      <c r="L17" s="37" t="n">
        <v>100</v>
      </c>
      <c r="M17" s="37" t="n">
        <v>81</v>
      </c>
      <c r="N17" s="37" t="n">
        <v>231</v>
      </c>
      <c r="O17" s="37" t="n">
        <v>5</v>
      </c>
    </row>
    <row r="20" customFormat="false" ht="30" hidden="false" customHeight="true" outlineLevel="0" collapsed="false">
      <c r="A20" s="39" t="s">
        <v>346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</row>
  </sheetData>
  <mergeCells count="2">
    <mergeCell ref="A1:O1"/>
    <mergeCell ref="A20:O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2026-03-02T08:05:16Z</dcterms:created>
  <dc:creator>openpyxl</dc:creator>
  <dc:description/>
  <dc:language>en-US</dc:language>
  <cp:lastModifiedBy/>
  <dcterms:modified xsi:type="dcterms:W3CDTF">2026-03-02T08:05:24Z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